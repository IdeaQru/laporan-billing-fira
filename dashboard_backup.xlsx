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ThinkPad\Downloads\"/>
    </mc:Choice>
  </mc:AlternateContent>
  <xr:revisionPtr revIDLastSave="0" documentId="8_{FE56CC6D-7414-48F3-ADDC-4F5B7742E77B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Dashboard" sheetId="1" r:id="rId1"/>
    <sheet name="NamaPelanggan" sheetId="2" r:id="rId2"/>
    <sheet name="Tagihan Pelanggan" sheetId="3" r:id="rId3"/>
    <sheet name="Pengeluaran" sheetId="4" r:id="rId4"/>
    <sheet name="Setup" sheetId="5" r:id="rId5"/>
    <sheet name="Read Me" sheetId="6" r:id="rId6"/>
  </sheets>
  <definedNames>
    <definedName name="_xlnm._FilterDatabase" localSheetId="2" hidden="1">'Tagihan Pelanggan'!$A$1:$O$984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401" i="3" l="1"/>
  <c r="R400" i="3"/>
  <c r="L10" i="1"/>
  <c r="L5" i="3"/>
  <c r="L6" i="3"/>
  <c r="L7" i="3"/>
  <c r="L8" i="3"/>
  <c r="L9" i="3"/>
  <c r="L10" i="3"/>
  <c r="L11" i="3"/>
  <c r="L12" i="3"/>
  <c r="L13" i="3"/>
  <c r="L14" i="3"/>
  <c r="L15" i="3"/>
  <c r="C490" i="2"/>
  <c r="C491" i="3" s="1"/>
  <c r="G490" i="2"/>
  <c r="H490" i="2" s="1"/>
  <c r="C491" i="2"/>
  <c r="G491" i="2"/>
  <c r="H491" i="2" s="1"/>
  <c r="L503" i="3"/>
  <c r="L492" i="3"/>
  <c r="L495" i="3"/>
  <c r="L496" i="3"/>
  <c r="L497" i="3"/>
  <c r="L499" i="3"/>
  <c r="L500" i="3"/>
  <c r="L502" i="3"/>
  <c r="D496" i="3"/>
  <c r="E496" i="3"/>
  <c r="F496" i="3"/>
  <c r="D497" i="3"/>
  <c r="E497" i="3"/>
  <c r="D498" i="3"/>
  <c r="E498" i="3"/>
  <c r="D499" i="3"/>
  <c r="E499" i="3"/>
  <c r="D500" i="3"/>
  <c r="E500" i="3"/>
  <c r="D501" i="3"/>
  <c r="E501" i="3"/>
  <c r="D502" i="3"/>
  <c r="E502" i="3"/>
  <c r="D503" i="3"/>
  <c r="E503" i="3"/>
  <c r="F503" i="3"/>
  <c r="D5" i="3"/>
  <c r="E5" i="3"/>
  <c r="D6" i="3"/>
  <c r="E6" i="3"/>
  <c r="D7" i="3"/>
  <c r="E7" i="3"/>
  <c r="D8" i="3"/>
  <c r="E8" i="3"/>
  <c r="D9" i="3"/>
  <c r="E9" i="3"/>
  <c r="D10" i="3"/>
  <c r="E10" i="3"/>
  <c r="D11" i="3"/>
  <c r="E11" i="3"/>
  <c r="D12" i="3"/>
  <c r="E12" i="3"/>
  <c r="D13" i="3"/>
  <c r="E13" i="3"/>
  <c r="D14" i="3"/>
  <c r="E14" i="3"/>
  <c r="D15" i="3"/>
  <c r="E15" i="3"/>
  <c r="D16" i="3"/>
  <c r="E16" i="3"/>
  <c r="D17" i="3"/>
  <c r="E17" i="3"/>
  <c r="F17" i="3"/>
  <c r="D18" i="3"/>
  <c r="E18" i="3"/>
  <c r="F18" i="3"/>
  <c r="D19" i="3"/>
  <c r="E19" i="3"/>
  <c r="F19" i="3"/>
  <c r="D20" i="3"/>
  <c r="E20" i="3"/>
  <c r="D21" i="3"/>
  <c r="E21" i="3"/>
  <c r="D22" i="3"/>
  <c r="E22" i="3"/>
  <c r="D23" i="3"/>
  <c r="E23" i="3"/>
  <c r="D24" i="3"/>
  <c r="E24" i="3"/>
  <c r="D25" i="3"/>
  <c r="E25" i="3"/>
  <c r="D26" i="3"/>
  <c r="E26" i="3"/>
  <c r="D27" i="3"/>
  <c r="E27" i="3"/>
  <c r="D28" i="3"/>
  <c r="E28" i="3"/>
  <c r="D29" i="3"/>
  <c r="E29" i="3"/>
  <c r="D30" i="3"/>
  <c r="E30" i="3"/>
  <c r="D31" i="3"/>
  <c r="E31" i="3"/>
  <c r="D32" i="3"/>
  <c r="E32" i="3"/>
  <c r="D33" i="3"/>
  <c r="E33" i="3"/>
  <c r="D34" i="3"/>
  <c r="E34" i="3"/>
  <c r="D35" i="3"/>
  <c r="E35" i="3"/>
  <c r="D36" i="3"/>
  <c r="E36" i="3"/>
  <c r="D37" i="3"/>
  <c r="E37" i="3"/>
  <c r="D38" i="3"/>
  <c r="E38" i="3"/>
  <c r="D39" i="3"/>
  <c r="E39" i="3"/>
  <c r="D40" i="3"/>
  <c r="E40" i="3"/>
  <c r="D41" i="3"/>
  <c r="E41" i="3"/>
  <c r="D42" i="3"/>
  <c r="E42" i="3"/>
  <c r="D43" i="3"/>
  <c r="E43" i="3"/>
  <c r="D44" i="3"/>
  <c r="E44" i="3"/>
  <c r="D45" i="3"/>
  <c r="E45" i="3"/>
  <c r="D46" i="3"/>
  <c r="E46" i="3"/>
  <c r="D47" i="3"/>
  <c r="E47" i="3"/>
  <c r="D48" i="3"/>
  <c r="E48" i="3"/>
  <c r="D49" i="3"/>
  <c r="E49" i="3"/>
  <c r="D50" i="3"/>
  <c r="E50" i="3"/>
  <c r="D51" i="3"/>
  <c r="E51" i="3"/>
  <c r="D52" i="3"/>
  <c r="E52" i="3"/>
  <c r="D53" i="3"/>
  <c r="E53" i="3"/>
  <c r="D54" i="3"/>
  <c r="E54" i="3"/>
  <c r="D55" i="3"/>
  <c r="E55" i="3"/>
  <c r="D56" i="3"/>
  <c r="E56" i="3"/>
  <c r="D57" i="3"/>
  <c r="E57" i="3"/>
  <c r="D58" i="3"/>
  <c r="E58" i="3"/>
  <c r="D59" i="3"/>
  <c r="E59" i="3"/>
  <c r="F59" i="3"/>
  <c r="D60" i="3"/>
  <c r="E60" i="3"/>
  <c r="F60" i="3"/>
  <c r="D61" i="3"/>
  <c r="E61" i="3"/>
  <c r="F61" i="3"/>
  <c r="D62" i="3"/>
  <c r="E62" i="3"/>
  <c r="F62" i="3"/>
  <c r="D63" i="3"/>
  <c r="E63" i="3"/>
  <c r="F63" i="3"/>
  <c r="D64" i="3"/>
  <c r="E64" i="3"/>
  <c r="D65" i="3"/>
  <c r="E65" i="3"/>
  <c r="D66" i="3"/>
  <c r="E66" i="3"/>
  <c r="D67" i="3"/>
  <c r="E67" i="3"/>
  <c r="D68" i="3"/>
  <c r="E68" i="3"/>
  <c r="D69" i="3"/>
  <c r="E69" i="3"/>
  <c r="D70" i="3"/>
  <c r="E70" i="3"/>
  <c r="D71" i="3"/>
  <c r="E71" i="3"/>
  <c r="D72" i="3"/>
  <c r="E72" i="3"/>
  <c r="D73" i="3"/>
  <c r="E73" i="3"/>
  <c r="D74" i="3"/>
  <c r="E74" i="3"/>
  <c r="D75" i="3"/>
  <c r="E75" i="3"/>
  <c r="D76" i="3"/>
  <c r="E76" i="3"/>
  <c r="D77" i="3"/>
  <c r="E77" i="3"/>
  <c r="D78" i="3"/>
  <c r="E78" i="3"/>
  <c r="D79" i="3"/>
  <c r="E79" i="3"/>
  <c r="D80" i="3"/>
  <c r="E80" i="3"/>
  <c r="D81" i="3"/>
  <c r="E81" i="3"/>
  <c r="D82" i="3"/>
  <c r="E82" i="3"/>
  <c r="D83" i="3"/>
  <c r="E83" i="3"/>
  <c r="D84" i="3"/>
  <c r="E84" i="3"/>
  <c r="D85" i="3"/>
  <c r="E85" i="3"/>
  <c r="D86" i="3"/>
  <c r="E86" i="3"/>
  <c r="D87" i="3"/>
  <c r="E87" i="3"/>
  <c r="D88" i="3"/>
  <c r="E88" i="3"/>
  <c r="D89" i="3"/>
  <c r="E89" i="3"/>
  <c r="D90" i="3"/>
  <c r="E90" i="3"/>
  <c r="D91" i="3"/>
  <c r="E91" i="3"/>
  <c r="D92" i="3"/>
  <c r="E92" i="3"/>
  <c r="D93" i="3"/>
  <c r="E93" i="3"/>
  <c r="D94" i="3"/>
  <c r="E94" i="3"/>
  <c r="D95" i="3"/>
  <c r="E95" i="3"/>
  <c r="D96" i="3"/>
  <c r="E96" i="3"/>
  <c r="D97" i="3"/>
  <c r="E97" i="3"/>
  <c r="D98" i="3"/>
  <c r="E98" i="3"/>
  <c r="D99" i="3"/>
  <c r="E99" i="3"/>
  <c r="D100" i="3"/>
  <c r="E100" i="3"/>
  <c r="D101" i="3"/>
  <c r="E101" i="3"/>
  <c r="D102" i="3"/>
  <c r="E102" i="3"/>
  <c r="D103" i="3"/>
  <c r="E103" i="3"/>
  <c r="D104" i="3"/>
  <c r="E104" i="3"/>
  <c r="D105" i="3"/>
  <c r="E105" i="3"/>
  <c r="D106" i="3"/>
  <c r="E106" i="3"/>
  <c r="D107" i="3"/>
  <c r="E107" i="3"/>
  <c r="D108" i="3"/>
  <c r="E108" i="3"/>
  <c r="D109" i="3"/>
  <c r="E109" i="3"/>
  <c r="D110" i="3"/>
  <c r="E110" i="3"/>
  <c r="D111" i="3"/>
  <c r="E111" i="3"/>
  <c r="D112" i="3"/>
  <c r="E112" i="3"/>
  <c r="D113" i="3"/>
  <c r="E113" i="3"/>
  <c r="D114" i="3"/>
  <c r="E114" i="3"/>
  <c r="D115" i="3"/>
  <c r="E115" i="3"/>
  <c r="D116" i="3"/>
  <c r="E116" i="3"/>
  <c r="D117" i="3"/>
  <c r="E117" i="3"/>
  <c r="D118" i="3"/>
  <c r="E118" i="3"/>
  <c r="D119" i="3"/>
  <c r="E119" i="3"/>
  <c r="D120" i="3"/>
  <c r="E120" i="3"/>
  <c r="D121" i="3"/>
  <c r="E121" i="3"/>
  <c r="D122" i="3"/>
  <c r="E122" i="3"/>
  <c r="D123" i="3"/>
  <c r="E123" i="3"/>
  <c r="D124" i="3"/>
  <c r="E124" i="3"/>
  <c r="D125" i="3"/>
  <c r="E125" i="3"/>
  <c r="D126" i="3"/>
  <c r="E126" i="3"/>
  <c r="D127" i="3"/>
  <c r="E127" i="3"/>
  <c r="D128" i="3"/>
  <c r="E128" i="3"/>
  <c r="D129" i="3"/>
  <c r="E129" i="3"/>
  <c r="D130" i="3"/>
  <c r="E130" i="3"/>
  <c r="D131" i="3"/>
  <c r="E131" i="3"/>
  <c r="D132" i="3"/>
  <c r="E132" i="3"/>
  <c r="D133" i="3"/>
  <c r="E133" i="3"/>
  <c r="D134" i="3"/>
  <c r="E134" i="3"/>
  <c r="D135" i="3"/>
  <c r="E135" i="3"/>
  <c r="D136" i="3"/>
  <c r="E136" i="3"/>
  <c r="D137" i="3"/>
  <c r="E137" i="3"/>
  <c r="D138" i="3"/>
  <c r="E138" i="3"/>
  <c r="D139" i="3"/>
  <c r="E139" i="3"/>
  <c r="D140" i="3"/>
  <c r="E140" i="3"/>
  <c r="D141" i="3"/>
  <c r="E141" i="3"/>
  <c r="D142" i="3"/>
  <c r="E142" i="3"/>
  <c r="D143" i="3"/>
  <c r="E143" i="3"/>
  <c r="D144" i="3"/>
  <c r="E144" i="3"/>
  <c r="D145" i="3"/>
  <c r="E145" i="3"/>
  <c r="D146" i="3"/>
  <c r="E146" i="3"/>
  <c r="D147" i="3"/>
  <c r="E147" i="3"/>
  <c r="D148" i="3"/>
  <c r="E148" i="3"/>
  <c r="D149" i="3"/>
  <c r="E149" i="3"/>
  <c r="D150" i="3"/>
  <c r="E150" i="3"/>
  <c r="D151" i="3"/>
  <c r="E151" i="3"/>
  <c r="D152" i="3"/>
  <c r="E152" i="3"/>
  <c r="D153" i="3"/>
  <c r="E153" i="3"/>
  <c r="D154" i="3"/>
  <c r="E154" i="3"/>
  <c r="D155" i="3"/>
  <c r="E155" i="3"/>
  <c r="D156" i="3"/>
  <c r="E156" i="3"/>
  <c r="D157" i="3"/>
  <c r="E157" i="3"/>
  <c r="D158" i="3"/>
  <c r="E158" i="3"/>
  <c r="D159" i="3"/>
  <c r="E159" i="3"/>
  <c r="D160" i="3"/>
  <c r="E160" i="3"/>
  <c r="D161" i="3"/>
  <c r="E161" i="3"/>
  <c r="D162" i="3"/>
  <c r="E162" i="3"/>
  <c r="D163" i="3"/>
  <c r="E163" i="3"/>
  <c r="D164" i="3"/>
  <c r="E164" i="3"/>
  <c r="D165" i="3"/>
  <c r="E165" i="3"/>
  <c r="D166" i="3"/>
  <c r="E166" i="3"/>
  <c r="D167" i="3"/>
  <c r="E167" i="3"/>
  <c r="D168" i="3"/>
  <c r="E168" i="3"/>
  <c r="D169" i="3"/>
  <c r="E169" i="3"/>
  <c r="D170" i="3"/>
  <c r="E170" i="3"/>
  <c r="D171" i="3"/>
  <c r="E171" i="3"/>
  <c r="D172" i="3"/>
  <c r="E172" i="3"/>
  <c r="D173" i="3"/>
  <c r="E173" i="3"/>
  <c r="D174" i="3"/>
  <c r="E174" i="3"/>
  <c r="D175" i="3"/>
  <c r="E175" i="3"/>
  <c r="D176" i="3"/>
  <c r="E176" i="3"/>
  <c r="D177" i="3"/>
  <c r="E177" i="3"/>
  <c r="D178" i="3"/>
  <c r="E178" i="3"/>
  <c r="D179" i="3"/>
  <c r="E179" i="3"/>
  <c r="D180" i="3"/>
  <c r="E180" i="3"/>
  <c r="D181" i="3"/>
  <c r="E181" i="3"/>
  <c r="D182" i="3"/>
  <c r="E182" i="3"/>
  <c r="F182" i="3"/>
  <c r="D183" i="3"/>
  <c r="E183" i="3"/>
  <c r="F183" i="3"/>
  <c r="D184" i="3"/>
  <c r="E184" i="3"/>
  <c r="F184" i="3"/>
  <c r="D185" i="3"/>
  <c r="E185" i="3"/>
  <c r="F185" i="3"/>
  <c r="D186" i="3"/>
  <c r="E186" i="3"/>
  <c r="F186" i="3"/>
  <c r="D187" i="3"/>
  <c r="E187" i="3"/>
  <c r="D188" i="3"/>
  <c r="E188" i="3"/>
  <c r="D189" i="3"/>
  <c r="E189" i="3"/>
  <c r="D190" i="3"/>
  <c r="E190" i="3"/>
  <c r="D191" i="3"/>
  <c r="E191" i="3"/>
  <c r="D192" i="3"/>
  <c r="E192" i="3"/>
  <c r="D193" i="3"/>
  <c r="E193" i="3"/>
  <c r="F193" i="3"/>
  <c r="D194" i="3"/>
  <c r="E194" i="3"/>
  <c r="D195" i="3"/>
  <c r="E195" i="3"/>
  <c r="D196" i="3"/>
  <c r="E196" i="3"/>
  <c r="D197" i="3"/>
  <c r="E197" i="3"/>
  <c r="D198" i="3"/>
  <c r="E198" i="3"/>
  <c r="D199" i="3"/>
  <c r="E199" i="3"/>
  <c r="F199" i="3"/>
  <c r="D200" i="3"/>
  <c r="E200" i="3"/>
  <c r="F200" i="3"/>
  <c r="D201" i="3"/>
  <c r="E201" i="3"/>
  <c r="D202" i="3"/>
  <c r="E202" i="3"/>
  <c r="D203" i="3"/>
  <c r="E203" i="3"/>
  <c r="F203" i="3"/>
  <c r="D204" i="3"/>
  <c r="E204" i="3"/>
  <c r="D205" i="3"/>
  <c r="E205" i="3"/>
  <c r="D206" i="3"/>
  <c r="E206" i="3"/>
  <c r="F206" i="3"/>
  <c r="D207" i="3"/>
  <c r="E207" i="3"/>
  <c r="F207" i="3"/>
  <c r="D208" i="3"/>
  <c r="E208" i="3"/>
  <c r="F208" i="3"/>
  <c r="D209" i="3"/>
  <c r="E209" i="3"/>
  <c r="F209" i="3"/>
  <c r="D210" i="3"/>
  <c r="E210" i="3"/>
  <c r="D211" i="3"/>
  <c r="E211" i="3"/>
  <c r="D212" i="3"/>
  <c r="E212" i="3"/>
  <c r="D213" i="3"/>
  <c r="E213" i="3"/>
  <c r="D214" i="3"/>
  <c r="E214" i="3"/>
  <c r="D215" i="3"/>
  <c r="E215" i="3"/>
  <c r="D216" i="3"/>
  <c r="E216" i="3"/>
  <c r="D217" i="3"/>
  <c r="E217" i="3"/>
  <c r="D218" i="3"/>
  <c r="E218" i="3"/>
  <c r="D219" i="3"/>
  <c r="E219" i="3"/>
  <c r="D220" i="3"/>
  <c r="E220" i="3"/>
  <c r="D221" i="3"/>
  <c r="E221" i="3"/>
  <c r="D222" i="3"/>
  <c r="E222" i="3"/>
  <c r="D223" i="3"/>
  <c r="E223" i="3"/>
  <c r="D224" i="3"/>
  <c r="E224" i="3"/>
  <c r="D225" i="3"/>
  <c r="E225" i="3"/>
  <c r="D226" i="3"/>
  <c r="E226" i="3"/>
  <c r="D227" i="3"/>
  <c r="E227" i="3"/>
  <c r="D228" i="3"/>
  <c r="E228" i="3"/>
  <c r="D229" i="3"/>
  <c r="E229" i="3"/>
  <c r="D230" i="3"/>
  <c r="E230" i="3"/>
  <c r="D231" i="3"/>
  <c r="E231" i="3"/>
  <c r="D232" i="3"/>
  <c r="E232" i="3"/>
  <c r="D233" i="3"/>
  <c r="E233" i="3"/>
  <c r="D234" i="3"/>
  <c r="E234" i="3"/>
  <c r="D235" i="3"/>
  <c r="E235" i="3"/>
  <c r="D236" i="3"/>
  <c r="E236" i="3"/>
  <c r="D237" i="3"/>
  <c r="E237" i="3"/>
  <c r="D238" i="3"/>
  <c r="E238" i="3"/>
  <c r="D239" i="3"/>
  <c r="E239" i="3"/>
  <c r="D240" i="3"/>
  <c r="E240" i="3"/>
  <c r="D241" i="3"/>
  <c r="E241" i="3"/>
  <c r="D242" i="3"/>
  <c r="E242" i="3"/>
  <c r="D243" i="3"/>
  <c r="E243" i="3"/>
  <c r="D244" i="3"/>
  <c r="E244" i="3"/>
  <c r="D245" i="3"/>
  <c r="E245" i="3"/>
  <c r="D246" i="3"/>
  <c r="E246" i="3"/>
  <c r="D247" i="3"/>
  <c r="E247" i="3"/>
  <c r="D248" i="3"/>
  <c r="E248" i="3"/>
  <c r="D249" i="3"/>
  <c r="E249" i="3"/>
  <c r="D250" i="3"/>
  <c r="E250" i="3"/>
  <c r="D251" i="3"/>
  <c r="E251" i="3"/>
  <c r="D252" i="3"/>
  <c r="E252" i="3"/>
  <c r="D253" i="3"/>
  <c r="E253" i="3"/>
  <c r="D254" i="3"/>
  <c r="E254" i="3"/>
  <c r="D255" i="3"/>
  <c r="E255" i="3"/>
  <c r="D256" i="3"/>
  <c r="E256" i="3"/>
  <c r="D257" i="3"/>
  <c r="E257" i="3"/>
  <c r="F257" i="3"/>
  <c r="D258" i="3"/>
  <c r="E258" i="3"/>
  <c r="F258" i="3"/>
  <c r="D259" i="3"/>
  <c r="E259" i="3"/>
  <c r="F259" i="3"/>
  <c r="D260" i="3"/>
  <c r="E260" i="3"/>
  <c r="D261" i="3"/>
  <c r="E261" i="3"/>
  <c r="D262" i="3"/>
  <c r="E262" i="3"/>
  <c r="D263" i="3"/>
  <c r="E263" i="3"/>
  <c r="D264" i="3"/>
  <c r="E264" i="3"/>
  <c r="D265" i="3"/>
  <c r="E265" i="3"/>
  <c r="D266" i="3"/>
  <c r="E266" i="3"/>
  <c r="D267" i="3"/>
  <c r="E267" i="3"/>
  <c r="D268" i="3"/>
  <c r="E268" i="3"/>
  <c r="D269" i="3"/>
  <c r="E269" i="3"/>
  <c r="D270" i="3"/>
  <c r="E270" i="3"/>
  <c r="D271" i="3"/>
  <c r="E271" i="3"/>
  <c r="D272" i="3"/>
  <c r="E272" i="3"/>
  <c r="D273" i="3"/>
  <c r="E273" i="3"/>
  <c r="D274" i="3"/>
  <c r="E274" i="3"/>
  <c r="D275" i="3"/>
  <c r="E275" i="3"/>
  <c r="D276" i="3"/>
  <c r="E276" i="3"/>
  <c r="D277" i="3"/>
  <c r="E277" i="3"/>
  <c r="D278" i="3"/>
  <c r="E278" i="3"/>
  <c r="D279" i="3"/>
  <c r="E279" i="3"/>
  <c r="D280" i="3"/>
  <c r="E280" i="3"/>
  <c r="D281" i="3"/>
  <c r="E281" i="3"/>
  <c r="D282" i="3"/>
  <c r="E282" i="3"/>
  <c r="D283" i="3"/>
  <c r="E283" i="3"/>
  <c r="D284" i="3"/>
  <c r="E284" i="3"/>
  <c r="D285" i="3"/>
  <c r="E285" i="3"/>
  <c r="D286" i="3"/>
  <c r="E286" i="3"/>
  <c r="D287" i="3"/>
  <c r="E287" i="3"/>
  <c r="D288" i="3"/>
  <c r="E288" i="3"/>
  <c r="D289" i="3"/>
  <c r="E289" i="3"/>
  <c r="D290" i="3"/>
  <c r="E290" i="3"/>
  <c r="D291" i="3"/>
  <c r="E291" i="3"/>
  <c r="D292" i="3"/>
  <c r="E292" i="3"/>
  <c r="D293" i="3"/>
  <c r="E293" i="3"/>
  <c r="D294" i="3"/>
  <c r="E294" i="3"/>
  <c r="D295" i="3"/>
  <c r="E295" i="3"/>
  <c r="D296" i="3"/>
  <c r="E296" i="3"/>
  <c r="D297" i="3"/>
  <c r="E297" i="3"/>
  <c r="D298" i="3"/>
  <c r="E298" i="3"/>
  <c r="D299" i="3"/>
  <c r="E299" i="3"/>
  <c r="D300" i="3"/>
  <c r="E300" i="3"/>
  <c r="D301" i="3"/>
  <c r="E301" i="3"/>
  <c r="D302" i="3"/>
  <c r="E302" i="3"/>
  <c r="D303" i="3"/>
  <c r="E303" i="3"/>
  <c r="D304" i="3"/>
  <c r="E304" i="3"/>
  <c r="D305" i="3"/>
  <c r="E305" i="3"/>
  <c r="D306" i="3"/>
  <c r="E306" i="3"/>
  <c r="D307" i="3"/>
  <c r="E307" i="3"/>
  <c r="D308" i="3"/>
  <c r="E308" i="3"/>
  <c r="D309" i="3"/>
  <c r="E309" i="3"/>
  <c r="D310" i="3"/>
  <c r="E310" i="3"/>
  <c r="D311" i="3"/>
  <c r="E311" i="3"/>
  <c r="D312" i="3"/>
  <c r="E312" i="3"/>
  <c r="D313" i="3"/>
  <c r="E313" i="3"/>
  <c r="D314" i="3"/>
  <c r="E314" i="3"/>
  <c r="D315" i="3"/>
  <c r="E315" i="3"/>
  <c r="D316" i="3"/>
  <c r="E316" i="3"/>
  <c r="D317" i="3"/>
  <c r="E317" i="3"/>
  <c r="D318" i="3"/>
  <c r="E318" i="3"/>
  <c r="D319" i="3"/>
  <c r="E319" i="3"/>
  <c r="D320" i="3"/>
  <c r="E320" i="3"/>
  <c r="D321" i="3"/>
  <c r="E321" i="3"/>
  <c r="D322" i="3"/>
  <c r="E322" i="3"/>
  <c r="D323" i="3"/>
  <c r="E323" i="3"/>
  <c r="D324" i="3"/>
  <c r="E324" i="3"/>
  <c r="D325" i="3"/>
  <c r="E325" i="3"/>
  <c r="D326" i="3"/>
  <c r="E326" i="3"/>
  <c r="D327" i="3"/>
  <c r="E327" i="3"/>
  <c r="D328" i="3"/>
  <c r="E328" i="3"/>
  <c r="D329" i="3"/>
  <c r="E329" i="3"/>
  <c r="D330" i="3"/>
  <c r="E330" i="3"/>
  <c r="D331" i="3"/>
  <c r="E331" i="3"/>
  <c r="D332" i="3"/>
  <c r="E332" i="3"/>
  <c r="D333" i="3"/>
  <c r="E333" i="3"/>
  <c r="D334" i="3"/>
  <c r="E334" i="3"/>
  <c r="D335" i="3"/>
  <c r="E335" i="3"/>
  <c r="D336" i="3"/>
  <c r="E336" i="3"/>
  <c r="D337" i="3"/>
  <c r="E337" i="3"/>
  <c r="D338" i="3"/>
  <c r="E338" i="3"/>
  <c r="D339" i="3"/>
  <c r="E339" i="3"/>
  <c r="D340" i="3"/>
  <c r="E340" i="3"/>
  <c r="D341" i="3"/>
  <c r="E341" i="3"/>
  <c r="D342" i="3"/>
  <c r="E342" i="3"/>
  <c r="D343" i="3"/>
  <c r="E343" i="3"/>
  <c r="D344" i="3"/>
  <c r="E344" i="3"/>
  <c r="D345" i="3"/>
  <c r="E345" i="3"/>
  <c r="D346" i="3"/>
  <c r="E346" i="3"/>
  <c r="D347" i="3"/>
  <c r="E347" i="3"/>
  <c r="D348" i="3"/>
  <c r="E348" i="3"/>
  <c r="D349" i="3"/>
  <c r="E349" i="3"/>
  <c r="D350" i="3"/>
  <c r="E350" i="3"/>
  <c r="D351" i="3"/>
  <c r="E351" i="3"/>
  <c r="D352" i="3"/>
  <c r="E352" i="3"/>
  <c r="D353" i="3"/>
  <c r="E353" i="3"/>
  <c r="D354" i="3"/>
  <c r="E354" i="3"/>
  <c r="D355" i="3"/>
  <c r="E355" i="3"/>
  <c r="D356" i="3"/>
  <c r="E356" i="3"/>
  <c r="D357" i="3"/>
  <c r="E357" i="3"/>
  <c r="D358" i="3"/>
  <c r="E358" i="3"/>
  <c r="D359" i="3"/>
  <c r="E359" i="3"/>
  <c r="D360" i="3"/>
  <c r="E360" i="3"/>
  <c r="D361" i="3"/>
  <c r="E361" i="3"/>
  <c r="D362" i="3"/>
  <c r="E362" i="3"/>
  <c r="D363" i="3"/>
  <c r="E363" i="3"/>
  <c r="D364" i="3"/>
  <c r="E364" i="3"/>
  <c r="D365" i="3"/>
  <c r="E365" i="3"/>
  <c r="F365" i="3"/>
  <c r="D366" i="3"/>
  <c r="E366" i="3"/>
  <c r="F366" i="3"/>
  <c r="D367" i="3"/>
  <c r="E367" i="3"/>
  <c r="D368" i="3"/>
  <c r="E368" i="3"/>
  <c r="D369" i="3"/>
  <c r="E369" i="3"/>
  <c r="D370" i="3"/>
  <c r="E370" i="3"/>
  <c r="F370" i="3"/>
  <c r="D371" i="3"/>
  <c r="E371" i="3"/>
  <c r="F371" i="3"/>
  <c r="D372" i="3"/>
  <c r="E372" i="3"/>
  <c r="D373" i="3"/>
  <c r="E373" i="3"/>
  <c r="D374" i="3"/>
  <c r="E374" i="3"/>
  <c r="D375" i="3"/>
  <c r="E375" i="3"/>
  <c r="D376" i="3"/>
  <c r="E376" i="3"/>
  <c r="D377" i="3"/>
  <c r="E377" i="3"/>
  <c r="D378" i="3"/>
  <c r="E378" i="3"/>
  <c r="D379" i="3"/>
  <c r="E379" i="3"/>
  <c r="D380" i="3"/>
  <c r="E380" i="3"/>
  <c r="D381" i="3"/>
  <c r="E381" i="3"/>
  <c r="D382" i="3"/>
  <c r="E382" i="3"/>
  <c r="D383" i="3"/>
  <c r="E383" i="3"/>
  <c r="D384" i="3"/>
  <c r="E384" i="3"/>
  <c r="D385" i="3"/>
  <c r="E385" i="3"/>
  <c r="D386" i="3"/>
  <c r="E386" i="3"/>
  <c r="D387" i="3"/>
  <c r="E387" i="3"/>
  <c r="D388" i="3"/>
  <c r="E388" i="3"/>
  <c r="D389" i="3"/>
  <c r="E389" i="3"/>
  <c r="D390" i="3"/>
  <c r="E390" i="3"/>
  <c r="D391" i="3"/>
  <c r="E391" i="3"/>
  <c r="D392" i="3"/>
  <c r="E392" i="3"/>
  <c r="D393" i="3"/>
  <c r="E393" i="3"/>
  <c r="D394" i="3"/>
  <c r="E394" i="3"/>
  <c r="D395" i="3"/>
  <c r="E395" i="3"/>
  <c r="D396" i="3"/>
  <c r="E396" i="3"/>
  <c r="D397" i="3"/>
  <c r="E397" i="3"/>
  <c r="D398" i="3"/>
  <c r="E398" i="3"/>
  <c r="D399" i="3"/>
  <c r="E399" i="3"/>
  <c r="D400" i="3"/>
  <c r="E400" i="3"/>
  <c r="D401" i="3"/>
  <c r="E401" i="3"/>
  <c r="D402" i="3"/>
  <c r="E402" i="3"/>
  <c r="D403" i="3"/>
  <c r="E403" i="3"/>
  <c r="D404" i="3"/>
  <c r="E404" i="3"/>
  <c r="D405" i="3"/>
  <c r="E405" i="3"/>
  <c r="D406" i="3"/>
  <c r="E406" i="3"/>
  <c r="D407" i="3"/>
  <c r="E407" i="3"/>
  <c r="D408" i="3"/>
  <c r="E408" i="3"/>
  <c r="D409" i="3"/>
  <c r="E409" i="3"/>
  <c r="D410" i="3"/>
  <c r="E410" i="3"/>
  <c r="D411" i="3"/>
  <c r="E411" i="3"/>
  <c r="D412" i="3"/>
  <c r="E412" i="3"/>
  <c r="D413" i="3"/>
  <c r="E413" i="3"/>
  <c r="D414" i="3"/>
  <c r="E414" i="3"/>
  <c r="D415" i="3"/>
  <c r="E415" i="3"/>
  <c r="D416" i="3"/>
  <c r="E416" i="3"/>
  <c r="D417" i="3"/>
  <c r="E417" i="3"/>
  <c r="D418" i="3"/>
  <c r="E418" i="3"/>
  <c r="D419" i="3"/>
  <c r="E419" i="3"/>
  <c r="D420" i="3"/>
  <c r="E420" i="3"/>
  <c r="D421" i="3"/>
  <c r="E421" i="3"/>
  <c r="D422" i="3"/>
  <c r="E422" i="3"/>
  <c r="D423" i="3"/>
  <c r="E423" i="3"/>
  <c r="D424" i="3"/>
  <c r="E424" i="3"/>
  <c r="D425" i="3"/>
  <c r="E425" i="3"/>
  <c r="F425" i="3"/>
  <c r="D426" i="3"/>
  <c r="E426" i="3"/>
  <c r="F426" i="3"/>
  <c r="D427" i="3"/>
  <c r="E427" i="3"/>
  <c r="D428" i="3"/>
  <c r="E428" i="3"/>
  <c r="D429" i="3"/>
  <c r="E429" i="3"/>
  <c r="D430" i="3"/>
  <c r="E430" i="3"/>
  <c r="F430" i="3"/>
  <c r="D431" i="3"/>
  <c r="E431" i="3"/>
  <c r="D432" i="3"/>
  <c r="E432" i="3"/>
  <c r="D433" i="3"/>
  <c r="E433" i="3"/>
  <c r="D434" i="3"/>
  <c r="E434" i="3"/>
  <c r="D435" i="3"/>
  <c r="E435" i="3"/>
  <c r="D436" i="3"/>
  <c r="E436" i="3"/>
  <c r="D437" i="3"/>
  <c r="E437" i="3"/>
  <c r="D438" i="3"/>
  <c r="E438" i="3"/>
  <c r="D439" i="3"/>
  <c r="E439" i="3"/>
  <c r="D440" i="3"/>
  <c r="E440" i="3"/>
  <c r="D441" i="3"/>
  <c r="E441" i="3"/>
  <c r="D442" i="3"/>
  <c r="E442" i="3"/>
  <c r="D443" i="3"/>
  <c r="E443" i="3"/>
  <c r="D444" i="3"/>
  <c r="E444" i="3"/>
  <c r="D445" i="3"/>
  <c r="E445" i="3"/>
  <c r="D446" i="3"/>
  <c r="E446" i="3"/>
  <c r="D447" i="3"/>
  <c r="E447" i="3"/>
  <c r="D448" i="3"/>
  <c r="E448" i="3"/>
  <c r="D449" i="3"/>
  <c r="E449" i="3"/>
  <c r="D450" i="3"/>
  <c r="E450" i="3"/>
  <c r="D451" i="3"/>
  <c r="E451" i="3"/>
  <c r="D452" i="3"/>
  <c r="E452" i="3"/>
  <c r="D453" i="3"/>
  <c r="E453" i="3"/>
  <c r="D454" i="3"/>
  <c r="E454" i="3"/>
  <c r="D455" i="3"/>
  <c r="E455" i="3"/>
  <c r="D456" i="3"/>
  <c r="E456" i="3"/>
  <c r="D457" i="3"/>
  <c r="E457" i="3"/>
  <c r="D458" i="3"/>
  <c r="E458" i="3"/>
  <c r="D459" i="3"/>
  <c r="E459" i="3"/>
  <c r="D460" i="3"/>
  <c r="E460" i="3"/>
  <c r="D461" i="3"/>
  <c r="E461" i="3"/>
  <c r="D462" i="3"/>
  <c r="E462" i="3"/>
  <c r="D463" i="3"/>
  <c r="E463" i="3"/>
  <c r="D464" i="3"/>
  <c r="E464" i="3"/>
  <c r="D465" i="3"/>
  <c r="E465" i="3"/>
  <c r="D466" i="3"/>
  <c r="E466" i="3"/>
  <c r="D467" i="3"/>
  <c r="E467" i="3"/>
  <c r="D468" i="3"/>
  <c r="E468" i="3"/>
  <c r="D469" i="3"/>
  <c r="E469" i="3"/>
  <c r="D470" i="3"/>
  <c r="E470" i="3"/>
  <c r="D471" i="3"/>
  <c r="E471" i="3"/>
  <c r="D472" i="3"/>
  <c r="E472" i="3"/>
  <c r="D473" i="3"/>
  <c r="E473" i="3"/>
  <c r="D474" i="3"/>
  <c r="E474" i="3"/>
  <c r="D475" i="3"/>
  <c r="E475" i="3"/>
  <c r="D476" i="3"/>
  <c r="E476" i="3"/>
  <c r="D477" i="3"/>
  <c r="E477" i="3"/>
  <c r="D478" i="3"/>
  <c r="E478" i="3"/>
  <c r="D479" i="3"/>
  <c r="E479" i="3"/>
  <c r="D480" i="3"/>
  <c r="E480" i="3"/>
  <c r="D481" i="3"/>
  <c r="E481" i="3"/>
  <c r="D482" i="3"/>
  <c r="E482" i="3"/>
  <c r="D483" i="3"/>
  <c r="E483" i="3"/>
  <c r="D484" i="3"/>
  <c r="E484" i="3"/>
  <c r="F484" i="3"/>
  <c r="D485" i="3"/>
  <c r="E485" i="3"/>
  <c r="F485" i="3"/>
  <c r="D486" i="3"/>
  <c r="E486" i="3"/>
  <c r="F486" i="3"/>
  <c r="D487" i="3"/>
  <c r="E487" i="3"/>
  <c r="D488" i="3"/>
  <c r="E488" i="3"/>
  <c r="D489" i="3"/>
  <c r="E489" i="3"/>
  <c r="D490" i="3"/>
  <c r="E490" i="3"/>
  <c r="D491" i="3"/>
  <c r="E491" i="3"/>
  <c r="D492" i="3"/>
  <c r="E492" i="3"/>
  <c r="D493" i="3"/>
  <c r="E493" i="3"/>
  <c r="F493" i="3"/>
  <c r="D494" i="3"/>
  <c r="E494" i="3"/>
  <c r="F494" i="3"/>
  <c r="D495" i="3"/>
  <c r="E495" i="3"/>
  <c r="F495" i="3"/>
  <c r="C494" i="2"/>
  <c r="C495" i="3" s="1"/>
  <c r="G494" i="2"/>
  <c r="L424" i="3"/>
  <c r="L425" i="3"/>
  <c r="L426" i="3"/>
  <c r="L427" i="3"/>
  <c r="L428" i="3"/>
  <c r="L429" i="3"/>
  <c r="L431" i="3"/>
  <c r="L432" i="3"/>
  <c r="C423" i="2"/>
  <c r="C424" i="3" s="1"/>
  <c r="C424" i="2"/>
  <c r="C425" i="3" s="1"/>
  <c r="C425" i="2"/>
  <c r="C426" i="3" s="1"/>
  <c r="G423" i="2"/>
  <c r="L205" i="3"/>
  <c r="C204" i="2"/>
  <c r="C205" i="3" s="1"/>
  <c r="C205" i="2"/>
  <c r="C206" i="3" s="1"/>
  <c r="G204" i="2"/>
  <c r="G205" i="2"/>
  <c r="L188" i="3"/>
  <c r="C187" i="2"/>
  <c r="C188" i="3" s="1"/>
  <c r="C188" i="2"/>
  <c r="C189" i="3" s="1"/>
  <c r="C189" i="2"/>
  <c r="C190" i="3" s="1"/>
  <c r="C190" i="2"/>
  <c r="C191" i="3" s="1"/>
  <c r="G188" i="2"/>
  <c r="G189" i="2"/>
  <c r="G187" i="2"/>
  <c r="G186" i="2"/>
  <c r="L100" i="3"/>
  <c r="L101" i="3"/>
  <c r="L102" i="3"/>
  <c r="C99" i="2"/>
  <c r="C100" i="3" s="1"/>
  <c r="C100" i="2"/>
  <c r="C101" i="3" s="1"/>
  <c r="C101" i="2"/>
  <c r="C102" i="3" s="1"/>
  <c r="C102" i="2"/>
  <c r="C103" i="3" s="1"/>
  <c r="G99" i="2"/>
  <c r="G100" i="2"/>
  <c r="C98" i="2"/>
  <c r="C99" i="3" s="1"/>
  <c r="C8" i="1"/>
  <c r="L12" i="1"/>
  <c r="L11" i="1"/>
  <c r="L9" i="1"/>
  <c r="L8" i="1"/>
  <c r="G502" i="2"/>
  <c r="C502" i="2"/>
  <c r="C503" i="3" s="1"/>
  <c r="C501" i="2"/>
  <c r="C502" i="3" s="1"/>
  <c r="G501" i="2"/>
  <c r="G495" i="2"/>
  <c r="H495" i="2" s="1"/>
  <c r="G496" i="2"/>
  <c r="G497" i="2"/>
  <c r="H497" i="2" s="1"/>
  <c r="G498" i="2"/>
  <c r="H498" i="2" s="1"/>
  <c r="F499" i="3" s="1"/>
  <c r="G499" i="2"/>
  <c r="G500" i="2"/>
  <c r="C495" i="2"/>
  <c r="C496" i="3" s="1"/>
  <c r="C496" i="2"/>
  <c r="C497" i="3" s="1"/>
  <c r="C497" i="2"/>
  <c r="C498" i="3" s="1"/>
  <c r="C498" i="2"/>
  <c r="C499" i="3" s="1"/>
  <c r="C499" i="2"/>
  <c r="C500" i="3" s="1"/>
  <c r="C500" i="2"/>
  <c r="C501" i="3" s="1"/>
  <c r="C5" i="2"/>
  <c r="C6" i="3" s="1"/>
  <c r="C6" i="2"/>
  <c r="C7" i="3" s="1"/>
  <c r="C7" i="2"/>
  <c r="C8" i="3" s="1"/>
  <c r="C8" i="2"/>
  <c r="C9" i="3" s="1"/>
  <c r="C9" i="2"/>
  <c r="C10" i="3" s="1"/>
  <c r="C10" i="2"/>
  <c r="C11" i="3" s="1"/>
  <c r="C11" i="2"/>
  <c r="C12" i="3" s="1"/>
  <c r="C12" i="2"/>
  <c r="C13" i="3" s="1"/>
  <c r="C13" i="2"/>
  <c r="C14" i="3" s="1"/>
  <c r="C14" i="2"/>
  <c r="C15" i="3" s="1"/>
  <c r="C15" i="2"/>
  <c r="C16" i="3" s="1"/>
  <c r="C16" i="2"/>
  <c r="C17" i="3" s="1"/>
  <c r="C17" i="2"/>
  <c r="C18" i="3" s="1"/>
  <c r="C18" i="2"/>
  <c r="C19" i="3" s="1"/>
  <c r="C19" i="2"/>
  <c r="C20" i="3" s="1"/>
  <c r="C20" i="2"/>
  <c r="C21" i="3" s="1"/>
  <c r="C21" i="2"/>
  <c r="C22" i="3" s="1"/>
  <c r="C22" i="2"/>
  <c r="C23" i="3" s="1"/>
  <c r="C23" i="2"/>
  <c r="C24" i="3" s="1"/>
  <c r="C24" i="2"/>
  <c r="C25" i="3" s="1"/>
  <c r="C25" i="2"/>
  <c r="C26" i="3" s="1"/>
  <c r="C26" i="2"/>
  <c r="C27" i="3" s="1"/>
  <c r="C27" i="2"/>
  <c r="C28" i="3" s="1"/>
  <c r="C28" i="2"/>
  <c r="C29" i="3" s="1"/>
  <c r="C29" i="2"/>
  <c r="C30" i="3" s="1"/>
  <c r="C30" i="2"/>
  <c r="C31" i="3" s="1"/>
  <c r="C31" i="2"/>
  <c r="C32" i="3" s="1"/>
  <c r="C32" i="2"/>
  <c r="C33" i="3" s="1"/>
  <c r="C33" i="2"/>
  <c r="C34" i="3" s="1"/>
  <c r="C34" i="2"/>
  <c r="C35" i="3" s="1"/>
  <c r="C35" i="2"/>
  <c r="C36" i="3" s="1"/>
  <c r="C36" i="2"/>
  <c r="C37" i="3" s="1"/>
  <c r="C37" i="2"/>
  <c r="C38" i="3" s="1"/>
  <c r="C38" i="2"/>
  <c r="C39" i="3" s="1"/>
  <c r="C39" i="2"/>
  <c r="C40" i="3" s="1"/>
  <c r="C40" i="2"/>
  <c r="C41" i="3" s="1"/>
  <c r="C41" i="2"/>
  <c r="C42" i="3" s="1"/>
  <c r="C42" i="2"/>
  <c r="C43" i="3" s="1"/>
  <c r="C43" i="2"/>
  <c r="C44" i="3" s="1"/>
  <c r="C44" i="2"/>
  <c r="C45" i="3" s="1"/>
  <c r="C45" i="2"/>
  <c r="C46" i="3" s="1"/>
  <c r="C46" i="2"/>
  <c r="C47" i="3" s="1"/>
  <c r="C47" i="2"/>
  <c r="C48" i="3" s="1"/>
  <c r="C48" i="2"/>
  <c r="C49" i="3" s="1"/>
  <c r="C49" i="2"/>
  <c r="C50" i="3" s="1"/>
  <c r="C50" i="2"/>
  <c r="C51" i="3" s="1"/>
  <c r="C51" i="2"/>
  <c r="C52" i="3" s="1"/>
  <c r="C52" i="2"/>
  <c r="C53" i="3" s="1"/>
  <c r="C53" i="2"/>
  <c r="C54" i="3" s="1"/>
  <c r="C54" i="2"/>
  <c r="C55" i="3" s="1"/>
  <c r="C55" i="2"/>
  <c r="C56" i="3" s="1"/>
  <c r="C56" i="2"/>
  <c r="C57" i="3" s="1"/>
  <c r="C57" i="2"/>
  <c r="C58" i="3" s="1"/>
  <c r="C58" i="2"/>
  <c r="C59" i="3" s="1"/>
  <c r="C59" i="2"/>
  <c r="C60" i="3" s="1"/>
  <c r="C60" i="2"/>
  <c r="C61" i="3" s="1"/>
  <c r="C61" i="2"/>
  <c r="C62" i="3" s="1"/>
  <c r="C62" i="2"/>
  <c r="C63" i="3" s="1"/>
  <c r="C63" i="2"/>
  <c r="C64" i="3" s="1"/>
  <c r="C64" i="2"/>
  <c r="C65" i="3" s="1"/>
  <c r="C65" i="2"/>
  <c r="C66" i="3" s="1"/>
  <c r="C66" i="2"/>
  <c r="C67" i="3" s="1"/>
  <c r="C67" i="2"/>
  <c r="C68" i="3" s="1"/>
  <c r="C68" i="2"/>
  <c r="C69" i="3" s="1"/>
  <c r="C69" i="2"/>
  <c r="C70" i="3" s="1"/>
  <c r="C70" i="2"/>
  <c r="C71" i="3" s="1"/>
  <c r="C71" i="2"/>
  <c r="C72" i="3" s="1"/>
  <c r="C72" i="2"/>
  <c r="C73" i="3" s="1"/>
  <c r="C73" i="2"/>
  <c r="C74" i="3" s="1"/>
  <c r="C74" i="2"/>
  <c r="C75" i="3" s="1"/>
  <c r="C75" i="2"/>
  <c r="C76" i="3" s="1"/>
  <c r="C76" i="2"/>
  <c r="C77" i="3" s="1"/>
  <c r="C77" i="2"/>
  <c r="C78" i="3" s="1"/>
  <c r="C78" i="2"/>
  <c r="C79" i="3" s="1"/>
  <c r="C79" i="2"/>
  <c r="C80" i="3" s="1"/>
  <c r="C80" i="2"/>
  <c r="C81" i="3" s="1"/>
  <c r="C81" i="2"/>
  <c r="C82" i="3" s="1"/>
  <c r="C82" i="2"/>
  <c r="C83" i="3" s="1"/>
  <c r="C83" i="2"/>
  <c r="C84" i="3" s="1"/>
  <c r="C84" i="2"/>
  <c r="C85" i="3" s="1"/>
  <c r="C85" i="2"/>
  <c r="C86" i="3" s="1"/>
  <c r="C86" i="2"/>
  <c r="C87" i="3" s="1"/>
  <c r="C87" i="2"/>
  <c r="C88" i="3" s="1"/>
  <c r="C88" i="2"/>
  <c r="C89" i="3" s="1"/>
  <c r="C89" i="2"/>
  <c r="C90" i="3" s="1"/>
  <c r="C90" i="2"/>
  <c r="C91" i="3" s="1"/>
  <c r="C91" i="2"/>
  <c r="C92" i="3" s="1"/>
  <c r="C92" i="2"/>
  <c r="C93" i="3" s="1"/>
  <c r="C93" i="2"/>
  <c r="C94" i="3" s="1"/>
  <c r="C94" i="2"/>
  <c r="C95" i="3" s="1"/>
  <c r="C95" i="2"/>
  <c r="C96" i="3" s="1"/>
  <c r="C96" i="2"/>
  <c r="C97" i="3" s="1"/>
  <c r="C97" i="2"/>
  <c r="C98" i="3" s="1"/>
  <c r="C103" i="2"/>
  <c r="C104" i="3" s="1"/>
  <c r="C104" i="2"/>
  <c r="C105" i="3" s="1"/>
  <c r="C105" i="2"/>
  <c r="C106" i="3" s="1"/>
  <c r="C106" i="2"/>
  <c r="C107" i="3" s="1"/>
  <c r="C107" i="2"/>
  <c r="C108" i="3" s="1"/>
  <c r="C108" i="2"/>
  <c r="C109" i="3" s="1"/>
  <c r="C109" i="2"/>
  <c r="C110" i="3" s="1"/>
  <c r="C110" i="2"/>
  <c r="C111" i="3" s="1"/>
  <c r="C111" i="2"/>
  <c r="C112" i="3" s="1"/>
  <c r="C112" i="2"/>
  <c r="C113" i="3" s="1"/>
  <c r="C113" i="2"/>
  <c r="C114" i="3" s="1"/>
  <c r="C114" i="2"/>
  <c r="C115" i="3" s="1"/>
  <c r="C115" i="2"/>
  <c r="C116" i="3" s="1"/>
  <c r="C116" i="2"/>
  <c r="C117" i="3" s="1"/>
  <c r="C117" i="2"/>
  <c r="C118" i="3" s="1"/>
  <c r="C118" i="2"/>
  <c r="C119" i="3" s="1"/>
  <c r="C119" i="2"/>
  <c r="C120" i="3" s="1"/>
  <c r="C120" i="2"/>
  <c r="C121" i="3" s="1"/>
  <c r="C121" i="2"/>
  <c r="C122" i="3" s="1"/>
  <c r="C122" i="2"/>
  <c r="C123" i="3" s="1"/>
  <c r="C123" i="2"/>
  <c r="C124" i="3" s="1"/>
  <c r="C124" i="2"/>
  <c r="C125" i="3" s="1"/>
  <c r="C125" i="2"/>
  <c r="C126" i="3" s="1"/>
  <c r="C126" i="2"/>
  <c r="C127" i="3" s="1"/>
  <c r="C127" i="2"/>
  <c r="C128" i="3" s="1"/>
  <c r="C128" i="2"/>
  <c r="C129" i="3" s="1"/>
  <c r="C129" i="2"/>
  <c r="C130" i="3" s="1"/>
  <c r="C130" i="2"/>
  <c r="C131" i="3" s="1"/>
  <c r="C131" i="2"/>
  <c r="C132" i="3" s="1"/>
  <c r="C132" i="2"/>
  <c r="C133" i="3" s="1"/>
  <c r="C133" i="2"/>
  <c r="C134" i="3" s="1"/>
  <c r="C134" i="2"/>
  <c r="C135" i="3" s="1"/>
  <c r="C135" i="2"/>
  <c r="C136" i="3" s="1"/>
  <c r="C136" i="2"/>
  <c r="C137" i="3" s="1"/>
  <c r="C137" i="2"/>
  <c r="C138" i="3" s="1"/>
  <c r="C138" i="2"/>
  <c r="C139" i="3" s="1"/>
  <c r="C139" i="2"/>
  <c r="C140" i="3" s="1"/>
  <c r="C140" i="2"/>
  <c r="C141" i="3" s="1"/>
  <c r="C141" i="2"/>
  <c r="C142" i="3" s="1"/>
  <c r="C142" i="2"/>
  <c r="C143" i="3" s="1"/>
  <c r="C143" i="2"/>
  <c r="C144" i="3" s="1"/>
  <c r="C144" i="2"/>
  <c r="C145" i="3" s="1"/>
  <c r="C145" i="2"/>
  <c r="C146" i="3" s="1"/>
  <c r="C146" i="2"/>
  <c r="C147" i="3" s="1"/>
  <c r="C147" i="2"/>
  <c r="C148" i="3" s="1"/>
  <c r="C148" i="2"/>
  <c r="C149" i="3" s="1"/>
  <c r="C149" i="2"/>
  <c r="C150" i="3" s="1"/>
  <c r="C150" i="2"/>
  <c r="C151" i="3" s="1"/>
  <c r="C151" i="2"/>
  <c r="C152" i="3" s="1"/>
  <c r="C152" i="2"/>
  <c r="C153" i="3" s="1"/>
  <c r="C153" i="2"/>
  <c r="C154" i="3" s="1"/>
  <c r="C154" i="2"/>
  <c r="C155" i="3" s="1"/>
  <c r="C155" i="2"/>
  <c r="C156" i="3" s="1"/>
  <c r="C156" i="2"/>
  <c r="C157" i="3" s="1"/>
  <c r="C157" i="2"/>
  <c r="C158" i="3" s="1"/>
  <c r="C158" i="2"/>
  <c r="C159" i="3" s="1"/>
  <c r="C159" i="2"/>
  <c r="C160" i="3" s="1"/>
  <c r="C160" i="2"/>
  <c r="C161" i="3" s="1"/>
  <c r="C161" i="2"/>
  <c r="C162" i="3" s="1"/>
  <c r="C162" i="2"/>
  <c r="C163" i="3" s="1"/>
  <c r="C163" i="2"/>
  <c r="C164" i="3" s="1"/>
  <c r="C164" i="2"/>
  <c r="C165" i="3" s="1"/>
  <c r="C165" i="2"/>
  <c r="C166" i="3" s="1"/>
  <c r="C166" i="2"/>
  <c r="C167" i="3" s="1"/>
  <c r="C167" i="2"/>
  <c r="C168" i="3" s="1"/>
  <c r="C168" i="2"/>
  <c r="C169" i="3" s="1"/>
  <c r="C169" i="2"/>
  <c r="C170" i="3" s="1"/>
  <c r="C170" i="2"/>
  <c r="C171" i="3" s="1"/>
  <c r="C171" i="2"/>
  <c r="C172" i="3" s="1"/>
  <c r="C172" i="2"/>
  <c r="C173" i="3" s="1"/>
  <c r="C173" i="2"/>
  <c r="C174" i="3" s="1"/>
  <c r="C174" i="2"/>
  <c r="C175" i="3" s="1"/>
  <c r="C175" i="2"/>
  <c r="C176" i="3" s="1"/>
  <c r="C176" i="2"/>
  <c r="C177" i="3" s="1"/>
  <c r="C177" i="2"/>
  <c r="C178" i="3" s="1"/>
  <c r="C178" i="2"/>
  <c r="C179" i="3" s="1"/>
  <c r="C179" i="2"/>
  <c r="C180" i="3" s="1"/>
  <c r="C180" i="2"/>
  <c r="C181" i="3" s="1"/>
  <c r="C181" i="2"/>
  <c r="C182" i="3" s="1"/>
  <c r="C182" i="2"/>
  <c r="C183" i="3" s="1"/>
  <c r="C183" i="2"/>
  <c r="C184" i="3" s="1"/>
  <c r="C184" i="2"/>
  <c r="C185" i="3" s="1"/>
  <c r="C185" i="2"/>
  <c r="C186" i="3" s="1"/>
  <c r="C186" i="2"/>
  <c r="C187" i="3" s="1"/>
  <c r="C191" i="2"/>
  <c r="C192" i="3" s="1"/>
  <c r="C192" i="2"/>
  <c r="C193" i="3" s="1"/>
  <c r="C193" i="2"/>
  <c r="C194" i="3" s="1"/>
  <c r="C194" i="2"/>
  <c r="C195" i="3" s="1"/>
  <c r="C195" i="2"/>
  <c r="C196" i="3" s="1"/>
  <c r="C196" i="2"/>
  <c r="C197" i="3" s="1"/>
  <c r="C197" i="2"/>
  <c r="C198" i="3" s="1"/>
  <c r="C198" i="2"/>
  <c r="C199" i="3" s="1"/>
  <c r="C199" i="2"/>
  <c r="C200" i="3" s="1"/>
  <c r="C200" i="2"/>
  <c r="C201" i="3" s="1"/>
  <c r="C201" i="2"/>
  <c r="C202" i="3" s="1"/>
  <c r="C202" i="2"/>
  <c r="C203" i="3" s="1"/>
  <c r="C203" i="2"/>
  <c r="C204" i="3" s="1"/>
  <c r="C206" i="2"/>
  <c r="C207" i="3" s="1"/>
  <c r="C207" i="2"/>
  <c r="C208" i="3" s="1"/>
  <c r="C208" i="2"/>
  <c r="C209" i="3" s="1"/>
  <c r="C209" i="2"/>
  <c r="C210" i="3" s="1"/>
  <c r="C210" i="2"/>
  <c r="C211" i="3" s="1"/>
  <c r="C211" i="2"/>
  <c r="C212" i="3" s="1"/>
  <c r="C212" i="2"/>
  <c r="C213" i="3" s="1"/>
  <c r="C213" i="2"/>
  <c r="C214" i="3" s="1"/>
  <c r="C214" i="2"/>
  <c r="C215" i="3" s="1"/>
  <c r="C215" i="2"/>
  <c r="C216" i="3" s="1"/>
  <c r="C216" i="2"/>
  <c r="C217" i="3" s="1"/>
  <c r="C217" i="2"/>
  <c r="C218" i="3" s="1"/>
  <c r="C218" i="2"/>
  <c r="C219" i="3" s="1"/>
  <c r="C219" i="2"/>
  <c r="C220" i="3" s="1"/>
  <c r="C220" i="2"/>
  <c r="C221" i="3" s="1"/>
  <c r="C221" i="2"/>
  <c r="C222" i="3" s="1"/>
  <c r="C222" i="2"/>
  <c r="C223" i="3" s="1"/>
  <c r="C223" i="2"/>
  <c r="C224" i="3" s="1"/>
  <c r="C224" i="2"/>
  <c r="C225" i="3" s="1"/>
  <c r="C225" i="2"/>
  <c r="C226" i="3" s="1"/>
  <c r="C226" i="2"/>
  <c r="C227" i="3" s="1"/>
  <c r="C227" i="2"/>
  <c r="C228" i="3" s="1"/>
  <c r="C228" i="2"/>
  <c r="C229" i="3" s="1"/>
  <c r="C229" i="2"/>
  <c r="C230" i="3" s="1"/>
  <c r="C230" i="2"/>
  <c r="C231" i="3" s="1"/>
  <c r="C231" i="2"/>
  <c r="C232" i="3" s="1"/>
  <c r="C232" i="2"/>
  <c r="C233" i="3" s="1"/>
  <c r="C233" i="2"/>
  <c r="C234" i="3" s="1"/>
  <c r="C234" i="2"/>
  <c r="C235" i="3" s="1"/>
  <c r="C235" i="2"/>
  <c r="C236" i="3" s="1"/>
  <c r="C236" i="2"/>
  <c r="C237" i="3" s="1"/>
  <c r="C237" i="2"/>
  <c r="C238" i="3" s="1"/>
  <c r="C238" i="2"/>
  <c r="C239" i="3" s="1"/>
  <c r="C239" i="2"/>
  <c r="C240" i="3" s="1"/>
  <c r="C240" i="2"/>
  <c r="C241" i="3" s="1"/>
  <c r="C241" i="2"/>
  <c r="C242" i="3" s="1"/>
  <c r="C242" i="2"/>
  <c r="C243" i="3" s="1"/>
  <c r="C243" i="2"/>
  <c r="C244" i="3" s="1"/>
  <c r="C244" i="2"/>
  <c r="C245" i="3" s="1"/>
  <c r="C245" i="2"/>
  <c r="C246" i="3" s="1"/>
  <c r="C246" i="2"/>
  <c r="C247" i="3" s="1"/>
  <c r="C247" i="2"/>
  <c r="C248" i="3" s="1"/>
  <c r="C248" i="2"/>
  <c r="C249" i="3" s="1"/>
  <c r="C249" i="2"/>
  <c r="C250" i="3" s="1"/>
  <c r="C250" i="2"/>
  <c r="C251" i="3" s="1"/>
  <c r="C251" i="2"/>
  <c r="C252" i="3" s="1"/>
  <c r="C252" i="2"/>
  <c r="C253" i="3" s="1"/>
  <c r="C253" i="2"/>
  <c r="C254" i="3" s="1"/>
  <c r="C254" i="2"/>
  <c r="C255" i="3" s="1"/>
  <c r="C255" i="2"/>
  <c r="C256" i="3" s="1"/>
  <c r="C256" i="2"/>
  <c r="C257" i="3" s="1"/>
  <c r="C257" i="2"/>
  <c r="C258" i="3" s="1"/>
  <c r="C258" i="2"/>
  <c r="C259" i="3" s="1"/>
  <c r="C259" i="2"/>
  <c r="C260" i="3" s="1"/>
  <c r="C260" i="2"/>
  <c r="C261" i="3" s="1"/>
  <c r="C261" i="2"/>
  <c r="C262" i="3" s="1"/>
  <c r="C262" i="2"/>
  <c r="C263" i="3" s="1"/>
  <c r="C263" i="2"/>
  <c r="C264" i="3" s="1"/>
  <c r="C264" i="2"/>
  <c r="C265" i="3" s="1"/>
  <c r="C265" i="2"/>
  <c r="C266" i="3" s="1"/>
  <c r="C266" i="2"/>
  <c r="C267" i="3" s="1"/>
  <c r="C267" i="2"/>
  <c r="C268" i="3" s="1"/>
  <c r="C268" i="2"/>
  <c r="C269" i="3" s="1"/>
  <c r="C269" i="2"/>
  <c r="C270" i="3" s="1"/>
  <c r="C270" i="2"/>
  <c r="C271" i="3" s="1"/>
  <c r="C271" i="2"/>
  <c r="C272" i="3" s="1"/>
  <c r="C272" i="2"/>
  <c r="C273" i="3" s="1"/>
  <c r="C273" i="2"/>
  <c r="C274" i="3" s="1"/>
  <c r="C274" i="2"/>
  <c r="C275" i="3" s="1"/>
  <c r="C275" i="2"/>
  <c r="C276" i="3" s="1"/>
  <c r="C276" i="2"/>
  <c r="C277" i="3" s="1"/>
  <c r="C277" i="2"/>
  <c r="C278" i="3" s="1"/>
  <c r="C278" i="2"/>
  <c r="C279" i="3" s="1"/>
  <c r="C279" i="2"/>
  <c r="C280" i="3" s="1"/>
  <c r="C280" i="2"/>
  <c r="C281" i="3" s="1"/>
  <c r="C281" i="2"/>
  <c r="C282" i="3" s="1"/>
  <c r="C282" i="2"/>
  <c r="C283" i="3" s="1"/>
  <c r="C283" i="2"/>
  <c r="C284" i="3" s="1"/>
  <c r="C284" i="2"/>
  <c r="C285" i="3" s="1"/>
  <c r="C285" i="2"/>
  <c r="C286" i="3" s="1"/>
  <c r="C286" i="2"/>
  <c r="C287" i="3" s="1"/>
  <c r="C287" i="2"/>
  <c r="C288" i="3" s="1"/>
  <c r="C288" i="2"/>
  <c r="C289" i="3" s="1"/>
  <c r="C289" i="2"/>
  <c r="C290" i="3" s="1"/>
  <c r="C290" i="2"/>
  <c r="C291" i="3" s="1"/>
  <c r="C291" i="2"/>
  <c r="C292" i="3" s="1"/>
  <c r="C292" i="2"/>
  <c r="C293" i="3" s="1"/>
  <c r="C293" i="2"/>
  <c r="C294" i="3" s="1"/>
  <c r="C294" i="2"/>
  <c r="C295" i="3" s="1"/>
  <c r="C295" i="2"/>
  <c r="C296" i="3" s="1"/>
  <c r="C296" i="2"/>
  <c r="C297" i="3" s="1"/>
  <c r="C297" i="2"/>
  <c r="C298" i="3" s="1"/>
  <c r="C298" i="2"/>
  <c r="C299" i="3" s="1"/>
  <c r="C299" i="2"/>
  <c r="C300" i="3" s="1"/>
  <c r="C300" i="2"/>
  <c r="C301" i="3" s="1"/>
  <c r="C301" i="2"/>
  <c r="C302" i="3" s="1"/>
  <c r="C302" i="2"/>
  <c r="C303" i="3" s="1"/>
  <c r="C303" i="2"/>
  <c r="C304" i="3" s="1"/>
  <c r="C304" i="2"/>
  <c r="C305" i="3" s="1"/>
  <c r="C305" i="2"/>
  <c r="C306" i="3" s="1"/>
  <c r="C306" i="2"/>
  <c r="C307" i="3" s="1"/>
  <c r="C307" i="2"/>
  <c r="C308" i="3" s="1"/>
  <c r="C308" i="2"/>
  <c r="C309" i="3" s="1"/>
  <c r="C309" i="2"/>
  <c r="C310" i="3" s="1"/>
  <c r="C310" i="2"/>
  <c r="C311" i="3" s="1"/>
  <c r="C311" i="2"/>
  <c r="C312" i="3" s="1"/>
  <c r="C312" i="2"/>
  <c r="C313" i="3" s="1"/>
  <c r="C313" i="2"/>
  <c r="C314" i="3" s="1"/>
  <c r="C314" i="2"/>
  <c r="C315" i="3" s="1"/>
  <c r="C315" i="2"/>
  <c r="C316" i="3" s="1"/>
  <c r="C316" i="2"/>
  <c r="C317" i="3" s="1"/>
  <c r="C317" i="2"/>
  <c r="C318" i="3" s="1"/>
  <c r="C318" i="2"/>
  <c r="C319" i="3" s="1"/>
  <c r="C319" i="2"/>
  <c r="C320" i="3" s="1"/>
  <c r="C320" i="2"/>
  <c r="C321" i="3" s="1"/>
  <c r="C321" i="2"/>
  <c r="C322" i="3" s="1"/>
  <c r="C322" i="2"/>
  <c r="C323" i="3" s="1"/>
  <c r="C323" i="2"/>
  <c r="C324" i="3" s="1"/>
  <c r="C324" i="2"/>
  <c r="C325" i="3" s="1"/>
  <c r="C325" i="2"/>
  <c r="C326" i="3" s="1"/>
  <c r="C326" i="2"/>
  <c r="C327" i="3" s="1"/>
  <c r="C327" i="2"/>
  <c r="C328" i="3" s="1"/>
  <c r="C328" i="2"/>
  <c r="C329" i="3" s="1"/>
  <c r="C329" i="2"/>
  <c r="C330" i="3" s="1"/>
  <c r="C330" i="2"/>
  <c r="C331" i="3" s="1"/>
  <c r="C331" i="2"/>
  <c r="C332" i="3" s="1"/>
  <c r="C332" i="2"/>
  <c r="C333" i="3" s="1"/>
  <c r="C333" i="2"/>
  <c r="C334" i="3" s="1"/>
  <c r="C334" i="2"/>
  <c r="C335" i="3" s="1"/>
  <c r="C335" i="2"/>
  <c r="C336" i="3" s="1"/>
  <c r="C336" i="2"/>
  <c r="C337" i="3" s="1"/>
  <c r="C337" i="2"/>
  <c r="C338" i="3" s="1"/>
  <c r="C338" i="2"/>
  <c r="C339" i="3" s="1"/>
  <c r="C339" i="2"/>
  <c r="C340" i="3" s="1"/>
  <c r="C340" i="2"/>
  <c r="C341" i="3" s="1"/>
  <c r="C341" i="2"/>
  <c r="C342" i="3" s="1"/>
  <c r="C342" i="2"/>
  <c r="C343" i="3" s="1"/>
  <c r="C343" i="2"/>
  <c r="C344" i="3" s="1"/>
  <c r="C344" i="2"/>
  <c r="C345" i="3" s="1"/>
  <c r="C345" i="2"/>
  <c r="C346" i="3" s="1"/>
  <c r="C346" i="2"/>
  <c r="C347" i="3" s="1"/>
  <c r="C347" i="2"/>
  <c r="C348" i="3" s="1"/>
  <c r="C348" i="2"/>
  <c r="C349" i="3" s="1"/>
  <c r="C349" i="2"/>
  <c r="C350" i="3" s="1"/>
  <c r="C350" i="2"/>
  <c r="C351" i="3" s="1"/>
  <c r="C351" i="2"/>
  <c r="C352" i="3" s="1"/>
  <c r="C352" i="2"/>
  <c r="C353" i="3" s="1"/>
  <c r="C353" i="2"/>
  <c r="C354" i="3" s="1"/>
  <c r="C354" i="2"/>
  <c r="C355" i="3" s="1"/>
  <c r="C355" i="2"/>
  <c r="C356" i="3" s="1"/>
  <c r="C356" i="2"/>
  <c r="C357" i="3" s="1"/>
  <c r="C357" i="2"/>
  <c r="C358" i="3" s="1"/>
  <c r="C358" i="2"/>
  <c r="C359" i="3" s="1"/>
  <c r="C359" i="2"/>
  <c r="C360" i="3" s="1"/>
  <c r="C360" i="2"/>
  <c r="C361" i="3" s="1"/>
  <c r="C361" i="2"/>
  <c r="C362" i="3" s="1"/>
  <c r="C362" i="2"/>
  <c r="C363" i="3" s="1"/>
  <c r="C363" i="2"/>
  <c r="C364" i="3" s="1"/>
  <c r="C364" i="2"/>
  <c r="C365" i="3" s="1"/>
  <c r="C365" i="2"/>
  <c r="C366" i="3" s="1"/>
  <c r="C366" i="2"/>
  <c r="C367" i="3" s="1"/>
  <c r="C367" i="2"/>
  <c r="C368" i="3" s="1"/>
  <c r="C368" i="2"/>
  <c r="C369" i="3" s="1"/>
  <c r="C369" i="2"/>
  <c r="C370" i="3" s="1"/>
  <c r="C370" i="2"/>
  <c r="C371" i="3" s="1"/>
  <c r="C371" i="2"/>
  <c r="C372" i="3" s="1"/>
  <c r="C372" i="2"/>
  <c r="C373" i="3" s="1"/>
  <c r="C373" i="2"/>
  <c r="C374" i="3" s="1"/>
  <c r="C374" i="2"/>
  <c r="C375" i="3" s="1"/>
  <c r="C375" i="2"/>
  <c r="C376" i="3" s="1"/>
  <c r="C376" i="2"/>
  <c r="C377" i="3" s="1"/>
  <c r="C377" i="2"/>
  <c r="C378" i="3" s="1"/>
  <c r="C378" i="2"/>
  <c r="C379" i="3" s="1"/>
  <c r="C379" i="2"/>
  <c r="C380" i="3" s="1"/>
  <c r="C380" i="2"/>
  <c r="C381" i="3" s="1"/>
  <c r="C381" i="2"/>
  <c r="C382" i="3" s="1"/>
  <c r="C382" i="2"/>
  <c r="C383" i="3" s="1"/>
  <c r="C383" i="2"/>
  <c r="C384" i="3" s="1"/>
  <c r="C384" i="2"/>
  <c r="C385" i="3" s="1"/>
  <c r="C385" i="2"/>
  <c r="C386" i="3" s="1"/>
  <c r="C386" i="2"/>
  <c r="C387" i="3" s="1"/>
  <c r="C387" i="2"/>
  <c r="C388" i="3" s="1"/>
  <c r="C388" i="2"/>
  <c r="C389" i="3" s="1"/>
  <c r="C389" i="2"/>
  <c r="C390" i="3" s="1"/>
  <c r="C390" i="2"/>
  <c r="C391" i="3" s="1"/>
  <c r="C391" i="2"/>
  <c r="C392" i="3" s="1"/>
  <c r="C392" i="2"/>
  <c r="C393" i="3" s="1"/>
  <c r="C393" i="2"/>
  <c r="C394" i="3" s="1"/>
  <c r="C394" i="2"/>
  <c r="C395" i="3" s="1"/>
  <c r="C395" i="2"/>
  <c r="C396" i="3" s="1"/>
  <c r="C396" i="2"/>
  <c r="C397" i="3" s="1"/>
  <c r="C397" i="2"/>
  <c r="C398" i="3" s="1"/>
  <c r="C398" i="2"/>
  <c r="C399" i="3" s="1"/>
  <c r="C399" i="2"/>
  <c r="C400" i="3" s="1"/>
  <c r="C400" i="2"/>
  <c r="C401" i="3" s="1"/>
  <c r="C401" i="2"/>
  <c r="C402" i="3" s="1"/>
  <c r="C402" i="2"/>
  <c r="C403" i="3" s="1"/>
  <c r="C403" i="2"/>
  <c r="C404" i="3" s="1"/>
  <c r="C404" i="2"/>
  <c r="C405" i="3" s="1"/>
  <c r="C405" i="2"/>
  <c r="C406" i="3" s="1"/>
  <c r="C406" i="2"/>
  <c r="C407" i="3" s="1"/>
  <c r="C407" i="2"/>
  <c r="C408" i="3" s="1"/>
  <c r="C408" i="2"/>
  <c r="C409" i="3" s="1"/>
  <c r="C409" i="2"/>
  <c r="C410" i="3" s="1"/>
  <c r="C410" i="2"/>
  <c r="C411" i="3" s="1"/>
  <c r="C411" i="2"/>
  <c r="C412" i="3" s="1"/>
  <c r="C412" i="2"/>
  <c r="C413" i="3" s="1"/>
  <c r="C413" i="2"/>
  <c r="C414" i="3" s="1"/>
  <c r="C414" i="2"/>
  <c r="C415" i="3" s="1"/>
  <c r="C415" i="2"/>
  <c r="C416" i="3" s="1"/>
  <c r="C416" i="2"/>
  <c r="C417" i="3" s="1"/>
  <c r="C417" i="2"/>
  <c r="C418" i="3" s="1"/>
  <c r="C418" i="2"/>
  <c r="C419" i="3" s="1"/>
  <c r="C419" i="2"/>
  <c r="C420" i="3" s="1"/>
  <c r="C420" i="2"/>
  <c r="C421" i="3" s="1"/>
  <c r="C421" i="2"/>
  <c r="C422" i="3" s="1"/>
  <c r="C422" i="2"/>
  <c r="C423" i="3" s="1"/>
  <c r="C426" i="2"/>
  <c r="C427" i="3" s="1"/>
  <c r="C427" i="2"/>
  <c r="C428" i="3" s="1"/>
  <c r="C428" i="2"/>
  <c r="C429" i="3" s="1"/>
  <c r="C429" i="2"/>
  <c r="C430" i="3" s="1"/>
  <c r="C430" i="2"/>
  <c r="C431" i="3" s="1"/>
  <c r="C431" i="2"/>
  <c r="C432" i="3" s="1"/>
  <c r="C432" i="2"/>
  <c r="C433" i="3" s="1"/>
  <c r="C433" i="2"/>
  <c r="C434" i="3" s="1"/>
  <c r="C434" i="2"/>
  <c r="C435" i="3" s="1"/>
  <c r="C435" i="2"/>
  <c r="C436" i="3" s="1"/>
  <c r="C436" i="2"/>
  <c r="C437" i="3" s="1"/>
  <c r="C437" i="2"/>
  <c r="C438" i="3" s="1"/>
  <c r="C438" i="2"/>
  <c r="C439" i="3" s="1"/>
  <c r="C439" i="2"/>
  <c r="C440" i="3" s="1"/>
  <c r="C440" i="2"/>
  <c r="C441" i="3" s="1"/>
  <c r="C441" i="2"/>
  <c r="C442" i="3" s="1"/>
  <c r="C442" i="2"/>
  <c r="C443" i="3" s="1"/>
  <c r="C443" i="2"/>
  <c r="C444" i="3" s="1"/>
  <c r="C444" i="2"/>
  <c r="C445" i="3" s="1"/>
  <c r="C445" i="2"/>
  <c r="C446" i="3" s="1"/>
  <c r="C446" i="2"/>
  <c r="C447" i="3" s="1"/>
  <c r="C447" i="2"/>
  <c r="C448" i="3" s="1"/>
  <c r="C448" i="2"/>
  <c r="C449" i="3" s="1"/>
  <c r="C449" i="2"/>
  <c r="C450" i="3" s="1"/>
  <c r="C450" i="2"/>
  <c r="C451" i="3" s="1"/>
  <c r="C451" i="2"/>
  <c r="C452" i="3" s="1"/>
  <c r="C452" i="2"/>
  <c r="C453" i="3" s="1"/>
  <c r="C453" i="2"/>
  <c r="C454" i="3" s="1"/>
  <c r="C454" i="2"/>
  <c r="C455" i="3" s="1"/>
  <c r="C455" i="2"/>
  <c r="C456" i="3" s="1"/>
  <c r="C456" i="2"/>
  <c r="C457" i="3" s="1"/>
  <c r="C457" i="2"/>
  <c r="C458" i="3" s="1"/>
  <c r="C458" i="2"/>
  <c r="C459" i="3" s="1"/>
  <c r="C459" i="2"/>
  <c r="C460" i="3" s="1"/>
  <c r="C460" i="2"/>
  <c r="C461" i="3" s="1"/>
  <c r="C461" i="2"/>
  <c r="C462" i="3" s="1"/>
  <c r="C462" i="2"/>
  <c r="C463" i="3" s="1"/>
  <c r="C463" i="2"/>
  <c r="C464" i="3" s="1"/>
  <c r="C464" i="2"/>
  <c r="C465" i="3" s="1"/>
  <c r="C465" i="2"/>
  <c r="C466" i="3" s="1"/>
  <c r="C466" i="2"/>
  <c r="C467" i="3" s="1"/>
  <c r="C467" i="2"/>
  <c r="C468" i="3" s="1"/>
  <c r="C468" i="2"/>
  <c r="C469" i="3" s="1"/>
  <c r="C469" i="2"/>
  <c r="C470" i="3" s="1"/>
  <c r="C470" i="2"/>
  <c r="C471" i="3" s="1"/>
  <c r="C471" i="2"/>
  <c r="C472" i="3" s="1"/>
  <c r="C472" i="2"/>
  <c r="C473" i="3" s="1"/>
  <c r="C473" i="2"/>
  <c r="C474" i="3" s="1"/>
  <c r="C474" i="2"/>
  <c r="C475" i="3" s="1"/>
  <c r="C475" i="2"/>
  <c r="C476" i="3" s="1"/>
  <c r="C476" i="2"/>
  <c r="C477" i="3" s="1"/>
  <c r="C477" i="2"/>
  <c r="C478" i="3" s="1"/>
  <c r="C478" i="2"/>
  <c r="C479" i="3" s="1"/>
  <c r="C479" i="2"/>
  <c r="C480" i="3" s="1"/>
  <c r="C480" i="2"/>
  <c r="C481" i="3" s="1"/>
  <c r="C481" i="2"/>
  <c r="C482" i="3" s="1"/>
  <c r="C482" i="2"/>
  <c r="C483" i="3" s="1"/>
  <c r="C483" i="2"/>
  <c r="C484" i="3" s="1"/>
  <c r="C484" i="2"/>
  <c r="C485" i="3" s="1"/>
  <c r="C485" i="2"/>
  <c r="C486" i="3" s="1"/>
  <c r="C486" i="2"/>
  <c r="C487" i="3" s="1"/>
  <c r="C487" i="2"/>
  <c r="C488" i="3" s="1"/>
  <c r="C488" i="2"/>
  <c r="C489" i="3" s="1"/>
  <c r="C489" i="2"/>
  <c r="C490" i="3" s="1"/>
  <c r="C492" i="3"/>
  <c r="C492" i="2"/>
  <c r="C493" i="3" s="1"/>
  <c r="C493" i="2"/>
  <c r="C494" i="3" s="1"/>
  <c r="G5" i="2"/>
  <c r="L214" i="3"/>
  <c r="L215" i="3"/>
  <c r="L217" i="3"/>
  <c r="L218" i="3"/>
  <c r="L219" i="3"/>
  <c r="L223" i="3"/>
  <c r="L224" i="3"/>
  <c r="L226" i="3"/>
  <c r="L228" i="3"/>
  <c r="L229" i="3"/>
  <c r="L230" i="3"/>
  <c r="L231" i="3"/>
  <c r="L232" i="3"/>
  <c r="L233" i="3"/>
  <c r="L234" i="3"/>
  <c r="L235" i="3"/>
  <c r="L237" i="3"/>
  <c r="L238" i="3"/>
  <c r="L239" i="3"/>
  <c r="L240" i="3"/>
  <c r="L241" i="3"/>
  <c r="L242" i="3"/>
  <c r="L243" i="3"/>
  <c r="L244" i="3"/>
  <c r="L245" i="3"/>
  <c r="L246" i="3"/>
  <c r="L247" i="3"/>
  <c r="L248" i="3"/>
  <c r="L249" i="3"/>
  <c r="L251" i="3"/>
  <c r="L252" i="3"/>
  <c r="L253" i="3"/>
  <c r="L255" i="3"/>
  <c r="L258" i="3"/>
  <c r="L259" i="3"/>
  <c r="L260" i="3"/>
  <c r="L261" i="3"/>
  <c r="L262" i="3"/>
  <c r="L263" i="3"/>
  <c r="L264" i="3"/>
  <c r="L265" i="3"/>
  <c r="L266" i="3"/>
  <c r="L267" i="3"/>
  <c r="L268" i="3"/>
  <c r="L269" i="3"/>
  <c r="L270" i="3"/>
  <c r="L271" i="3"/>
  <c r="L272" i="3"/>
  <c r="L273" i="3"/>
  <c r="L274" i="3"/>
  <c r="L275" i="3"/>
  <c r="L276" i="3"/>
  <c r="L277" i="3"/>
  <c r="L278" i="3"/>
  <c r="L279" i="3"/>
  <c r="L280" i="3"/>
  <c r="L281" i="3"/>
  <c r="L282" i="3"/>
  <c r="L283" i="3"/>
  <c r="L284" i="3"/>
  <c r="L285" i="3"/>
  <c r="L286" i="3"/>
  <c r="L287" i="3"/>
  <c r="L288" i="3"/>
  <c r="L289" i="3"/>
  <c r="L291" i="3"/>
  <c r="L292" i="3"/>
  <c r="L293" i="3"/>
  <c r="L294" i="3"/>
  <c r="L295" i="3"/>
  <c r="L296" i="3"/>
  <c r="L297" i="3"/>
  <c r="L299" i="3"/>
  <c r="L300" i="3"/>
  <c r="L302" i="3"/>
  <c r="L306" i="3"/>
  <c r="L307" i="3"/>
  <c r="L308" i="3"/>
  <c r="L309" i="3"/>
  <c r="L310" i="3"/>
  <c r="L311" i="3"/>
  <c r="L312" i="3"/>
  <c r="L313" i="3"/>
  <c r="L314" i="3"/>
  <c r="L315" i="3"/>
  <c r="L316" i="3"/>
  <c r="L317" i="3"/>
  <c r="L319" i="3"/>
  <c r="L320" i="3"/>
  <c r="L321" i="3"/>
  <c r="L322" i="3"/>
  <c r="L323" i="3"/>
  <c r="L324" i="3"/>
  <c r="L326" i="3"/>
  <c r="L327" i="3"/>
  <c r="L328" i="3"/>
  <c r="L329" i="3"/>
  <c r="L330" i="3"/>
  <c r="L332" i="3"/>
  <c r="L333" i="3"/>
  <c r="L334" i="3"/>
  <c r="L336" i="3"/>
  <c r="L337" i="3"/>
  <c r="L339" i="3"/>
  <c r="L340" i="3"/>
  <c r="L342" i="3"/>
  <c r="L343" i="3"/>
  <c r="L344" i="3"/>
  <c r="L345" i="3"/>
  <c r="L346" i="3"/>
  <c r="L348" i="3"/>
  <c r="L349" i="3"/>
  <c r="L350" i="3"/>
  <c r="L351" i="3"/>
  <c r="L352" i="3"/>
  <c r="L353" i="3"/>
  <c r="L354" i="3"/>
  <c r="L355" i="3"/>
  <c r="L356" i="3"/>
  <c r="L357" i="3"/>
  <c r="L358" i="3"/>
  <c r="L359" i="3"/>
  <c r="L360" i="3"/>
  <c r="L361" i="3"/>
  <c r="L362" i="3"/>
  <c r="L363" i="3"/>
  <c r="L364" i="3"/>
  <c r="L366" i="3"/>
  <c r="L367" i="3"/>
  <c r="L369" i="3"/>
  <c r="L370" i="3"/>
  <c r="L372" i="3"/>
  <c r="L373" i="3"/>
  <c r="L374" i="3"/>
  <c r="L375" i="3"/>
  <c r="L376" i="3"/>
  <c r="L377" i="3"/>
  <c r="L378" i="3"/>
  <c r="L379" i="3"/>
  <c r="L380" i="3"/>
  <c r="L381" i="3"/>
  <c r="L382" i="3"/>
  <c r="L383" i="3"/>
  <c r="L384" i="3"/>
  <c r="L385" i="3"/>
  <c r="L386" i="3"/>
  <c r="L387" i="3"/>
  <c r="L388" i="3"/>
  <c r="L389" i="3"/>
  <c r="L390" i="3"/>
  <c r="L391" i="3"/>
  <c r="L392" i="3"/>
  <c r="L393" i="3"/>
  <c r="L394" i="3"/>
  <c r="L395" i="3"/>
  <c r="L396" i="3"/>
  <c r="L397" i="3"/>
  <c r="L398" i="3"/>
  <c r="L399" i="3"/>
  <c r="L400" i="3"/>
  <c r="L401" i="3"/>
  <c r="L402" i="3"/>
  <c r="L404" i="3"/>
  <c r="L405" i="3"/>
  <c r="L406" i="3"/>
  <c r="L407" i="3"/>
  <c r="L408" i="3"/>
  <c r="L409" i="3"/>
  <c r="L410" i="3"/>
  <c r="L411" i="3"/>
  <c r="L412" i="3"/>
  <c r="L413" i="3"/>
  <c r="L414" i="3"/>
  <c r="L415" i="3"/>
  <c r="L416" i="3"/>
  <c r="L417" i="3"/>
  <c r="L418" i="3"/>
  <c r="L419" i="3"/>
  <c r="L420" i="3"/>
  <c r="L421" i="3"/>
  <c r="L422" i="3"/>
  <c r="L423" i="3"/>
  <c r="L434" i="3"/>
  <c r="L435" i="3"/>
  <c r="L436" i="3"/>
  <c r="L437" i="3"/>
  <c r="L438" i="3"/>
  <c r="L439" i="3"/>
  <c r="L440" i="3"/>
  <c r="L441" i="3"/>
  <c r="L442" i="3"/>
  <c r="L443" i="3"/>
  <c r="L444" i="3"/>
  <c r="L445" i="3"/>
  <c r="L446" i="3"/>
  <c r="L447" i="3"/>
  <c r="L448" i="3"/>
  <c r="L449" i="3"/>
  <c r="L450" i="3"/>
  <c r="L451" i="3"/>
  <c r="L452" i="3"/>
  <c r="L453" i="3"/>
  <c r="L454" i="3"/>
  <c r="L455" i="3"/>
  <c r="L456" i="3"/>
  <c r="L457" i="3"/>
  <c r="L458" i="3"/>
  <c r="L461" i="3"/>
  <c r="L462" i="3"/>
  <c r="L463" i="3"/>
  <c r="L464" i="3"/>
  <c r="L465" i="3"/>
  <c r="L466" i="3"/>
  <c r="L467" i="3"/>
  <c r="L468" i="3"/>
  <c r="L469" i="3"/>
  <c r="L470" i="3"/>
  <c r="L471" i="3"/>
  <c r="L472" i="3"/>
  <c r="L473" i="3"/>
  <c r="L474" i="3"/>
  <c r="L475" i="3"/>
  <c r="L476" i="3"/>
  <c r="L477" i="3"/>
  <c r="L478" i="3"/>
  <c r="L479" i="3"/>
  <c r="L480" i="3"/>
  <c r="L481" i="3"/>
  <c r="L482" i="3"/>
  <c r="L483" i="3"/>
  <c r="L484" i="3"/>
  <c r="L485" i="3"/>
  <c r="L486" i="3"/>
  <c r="L487" i="3"/>
  <c r="L488" i="3"/>
  <c r="L489" i="3"/>
  <c r="L490" i="3"/>
  <c r="L491" i="3"/>
  <c r="L199" i="3"/>
  <c r="L200" i="3"/>
  <c r="L201" i="3"/>
  <c r="L202" i="3"/>
  <c r="L203" i="3"/>
  <c r="L204" i="3"/>
  <c r="L210" i="3"/>
  <c r="L212" i="3"/>
  <c r="H100" i="2" l="1"/>
  <c r="F101" i="3" s="1"/>
  <c r="H99" i="2"/>
  <c r="F100" i="3" s="1"/>
  <c r="H187" i="2"/>
  <c r="F188" i="3" s="1"/>
  <c r="H204" i="2"/>
  <c r="F205" i="3" s="1"/>
  <c r="H188" i="2"/>
  <c r="F189" i="3" s="1"/>
  <c r="H423" i="2"/>
  <c r="F424" i="3" s="1"/>
  <c r="H189" i="2"/>
  <c r="F190" i="3" s="1"/>
  <c r="H500" i="2"/>
  <c r="H499" i="2"/>
  <c r="F500" i="3" s="1"/>
  <c r="H501" i="2"/>
  <c r="F502" i="3" s="1"/>
  <c r="H496" i="2"/>
  <c r="F497" i="3" s="1"/>
  <c r="H5" i="2"/>
  <c r="F6" i="3" s="1"/>
  <c r="D504" i="3"/>
  <c r="D505" i="3"/>
  <c r="D506" i="3"/>
  <c r="D507" i="3"/>
  <c r="D508" i="3"/>
  <c r="D509" i="3"/>
  <c r="D510" i="3"/>
  <c r="D511" i="3"/>
  <c r="D512" i="3"/>
  <c r="D513" i="3"/>
  <c r="D514" i="3"/>
  <c r="D515" i="3"/>
  <c r="D516" i="3"/>
  <c r="D517" i="3"/>
  <c r="D518" i="3"/>
  <c r="D519" i="3"/>
  <c r="D520" i="3"/>
  <c r="D521" i="3"/>
  <c r="D522" i="3"/>
  <c r="D523" i="3"/>
  <c r="D524" i="3"/>
  <c r="D525" i="3"/>
  <c r="D526" i="3"/>
  <c r="D527" i="3"/>
  <c r="D528" i="3"/>
  <c r="D529" i="3"/>
  <c r="D530" i="3"/>
  <c r="D531" i="3"/>
  <c r="D532" i="3"/>
  <c r="D533" i="3"/>
  <c r="D534" i="3"/>
  <c r="D535" i="3"/>
  <c r="D536" i="3"/>
  <c r="D537" i="3"/>
  <c r="D538" i="3"/>
  <c r="D539" i="3"/>
  <c r="D540" i="3"/>
  <c r="D541" i="3"/>
  <c r="D542" i="3"/>
  <c r="D543" i="3"/>
  <c r="D544" i="3"/>
  <c r="D545" i="3"/>
  <c r="D546" i="3"/>
  <c r="D547" i="3"/>
  <c r="D548" i="3"/>
  <c r="D549" i="3"/>
  <c r="D550" i="3"/>
  <c r="D551" i="3"/>
  <c r="D552" i="3"/>
  <c r="D553" i="3"/>
  <c r="D554" i="3"/>
  <c r="D555" i="3"/>
  <c r="D556" i="3"/>
  <c r="D557" i="3"/>
  <c r="D558" i="3"/>
  <c r="D559" i="3"/>
  <c r="D560" i="3"/>
  <c r="D561" i="3"/>
  <c r="D562" i="3"/>
  <c r="D563" i="3"/>
  <c r="D564" i="3"/>
  <c r="D565" i="3"/>
  <c r="D566" i="3"/>
  <c r="D567" i="3"/>
  <c r="D568" i="3"/>
  <c r="D569" i="3"/>
  <c r="D570" i="3"/>
  <c r="D571" i="3"/>
  <c r="D572" i="3"/>
  <c r="D573" i="3"/>
  <c r="D574" i="3"/>
  <c r="D575" i="3"/>
  <c r="D576" i="3"/>
  <c r="D577" i="3"/>
  <c r="D578" i="3"/>
  <c r="D579" i="3"/>
  <c r="D580" i="3"/>
  <c r="D581" i="3"/>
  <c r="D582" i="3"/>
  <c r="D583" i="3"/>
  <c r="D584" i="3"/>
  <c r="D585" i="3"/>
  <c r="D586" i="3"/>
  <c r="D587" i="3"/>
  <c r="D588" i="3"/>
  <c r="D589" i="3"/>
  <c r="D590" i="3"/>
  <c r="D591" i="3"/>
  <c r="D592" i="3"/>
  <c r="D593" i="3"/>
  <c r="D594" i="3"/>
  <c r="D595" i="3"/>
  <c r="D596" i="3"/>
  <c r="D597" i="3"/>
  <c r="D598" i="3"/>
  <c r="D599" i="3"/>
  <c r="D600" i="3"/>
  <c r="D601" i="3"/>
  <c r="D602" i="3"/>
  <c r="D603" i="3"/>
  <c r="D604" i="3"/>
  <c r="D605" i="3"/>
  <c r="D606" i="3"/>
  <c r="D607" i="3"/>
  <c r="D608" i="3"/>
  <c r="D609" i="3"/>
  <c r="D610" i="3"/>
  <c r="D611" i="3"/>
  <c r="D612" i="3"/>
  <c r="D613" i="3"/>
  <c r="D614" i="3"/>
  <c r="D615" i="3"/>
  <c r="D616" i="3"/>
  <c r="D617" i="3"/>
  <c r="D618" i="3"/>
  <c r="D619" i="3"/>
  <c r="D620" i="3"/>
  <c r="D621" i="3"/>
  <c r="D622" i="3"/>
  <c r="D623" i="3"/>
  <c r="D624" i="3"/>
  <c r="D625" i="3"/>
  <c r="D626" i="3"/>
  <c r="D627" i="3"/>
  <c r="D628" i="3"/>
  <c r="D629" i="3"/>
  <c r="D630" i="3"/>
  <c r="D631" i="3"/>
  <c r="D632" i="3"/>
  <c r="D633" i="3"/>
  <c r="D634" i="3"/>
  <c r="D635" i="3"/>
  <c r="D636" i="3"/>
  <c r="D637" i="3"/>
  <c r="D638" i="3"/>
  <c r="D639" i="3"/>
  <c r="D640" i="3"/>
  <c r="D641" i="3"/>
  <c r="D642" i="3"/>
  <c r="D643" i="3"/>
  <c r="D644" i="3"/>
  <c r="D645" i="3"/>
  <c r="D646" i="3"/>
  <c r="D647" i="3"/>
  <c r="D648" i="3"/>
  <c r="D649" i="3"/>
  <c r="D650" i="3"/>
  <c r="D651" i="3"/>
  <c r="D652" i="3"/>
  <c r="D653" i="3"/>
  <c r="D654" i="3"/>
  <c r="D655" i="3"/>
  <c r="D656" i="3"/>
  <c r="D657" i="3"/>
  <c r="D658" i="3"/>
  <c r="D659" i="3"/>
  <c r="D660" i="3"/>
  <c r="D661" i="3"/>
  <c r="D662" i="3"/>
  <c r="D663" i="3"/>
  <c r="D664" i="3"/>
  <c r="D665" i="3"/>
  <c r="D666" i="3"/>
  <c r="D667" i="3"/>
  <c r="D668" i="3"/>
  <c r="D669" i="3"/>
  <c r="D670" i="3"/>
  <c r="D671" i="3"/>
  <c r="D672" i="3"/>
  <c r="D673" i="3"/>
  <c r="D674" i="3"/>
  <c r="D675" i="3"/>
  <c r="D676" i="3"/>
  <c r="D677" i="3"/>
  <c r="D678" i="3"/>
  <c r="D679" i="3"/>
  <c r="D680" i="3"/>
  <c r="D681" i="3"/>
  <c r="D682" i="3"/>
  <c r="D683" i="3"/>
  <c r="D684" i="3"/>
  <c r="D685" i="3"/>
  <c r="D686" i="3"/>
  <c r="D687" i="3"/>
  <c r="D688" i="3"/>
  <c r="D689" i="3"/>
  <c r="D690" i="3"/>
  <c r="D691" i="3"/>
  <c r="D692" i="3"/>
  <c r="D693" i="3"/>
  <c r="D694" i="3"/>
  <c r="D695" i="3"/>
  <c r="D696" i="3"/>
  <c r="D697" i="3"/>
  <c r="D698" i="3"/>
  <c r="D699" i="3"/>
  <c r="D700" i="3"/>
  <c r="D701" i="3"/>
  <c r="D702" i="3"/>
  <c r="D703" i="3"/>
  <c r="D704" i="3"/>
  <c r="D705" i="3"/>
  <c r="D706" i="3"/>
  <c r="D707" i="3"/>
  <c r="D708" i="3"/>
  <c r="D709" i="3"/>
  <c r="D710" i="3"/>
  <c r="D711" i="3"/>
  <c r="D712" i="3"/>
  <c r="D713" i="3"/>
  <c r="D714" i="3"/>
  <c r="D715" i="3"/>
  <c r="D716" i="3"/>
  <c r="D717" i="3"/>
  <c r="D718" i="3"/>
  <c r="D719" i="3"/>
  <c r="D720" i="3"/>
  <c r="D721" i="3"/>
  <c r="D722" i="3"/>
  <c r="D723" i="3"/>
  <c r="D724" i="3"/>
  <c r="D725" i="3"/>
  <c r="D726" i="3"/>
  <c r="D727" i="3"/>
  <c r="D728" i="3"/>
  <c r="D729" i="3"/>
  <c r="D730" i="3"/>
  <c r="D731" i="3"/>
  <c r="D732" i="3"/>
  <c r="D733" i="3"/>
  <c r="D734" i="3"/>
  <c r="D735" i="3"/>
  <c r="D736" i="3"/>
  <c r="D737" i="3"/>
  <c r="D738" i="3"/>
  <c r="D739" i="3"/>
  <c r="D740" i="3"/>
  <c r="D741" i="3"/>
  <c r="D742" i="3"/>
  <c r="D743" i="3"/>
  <c r="D744" i="3"/>
  <c r="D745" i="3"/>
  <c r="D746" i="3"/>
  <c r="D747" i="3"/>
  <c r="D748" i="3"/>
  <c r="D749" i="3"/>
  <c r="D750" i="3"/>
  <c r="D751" i="3"/>
  <c r="D752" i="3"/>
  <c r="D753" i="3"/>
  <c r="D754" i="3"/>
  <c r="D755" i="3"/>
  <c r="D756" i="3"/>
  <c r="D757" i="3"/>
  <c r="D758" i="3"/>
  <c r="D759" i="3"/>
  <c r="D760" i="3"/>
  <c r="D761" i="3"/>
  <c r="D762" i="3"/>
  <c r="D763" i="3"/>
  <c r="D764" i="3"/>
  <c r="D765" i="3"/>
  <c r="D766" i="3"/>
  <c r="D767" i="3"/>
  <c r="D768" i="3"/>
  <c r="D769" i="3"/>
  <c r="D770" i="3"/>
  <c r="D771" i="3"/>
  <c r="D772" i="3"/>
  <c r="D773" i="3"/>
  <c r="D774" i="3"/>
  <c r="D775" i="3"/>
  <c r="D776" i="3"/>
  <c r="D777" i="3"/>
  <c r="D778" i="3"/>
  <c r="D779" i="3"/>
  <c r="D780" i="3"/>
  <c r="D781" i="3"/>
  <c r="D782" i="3"/>
  <c r="D783" i="3"/>
  <c r="D784" i="3"/>
  <c r="D785" i="3"/>
  <c r="D786" i="3"/>
  <c r="D787" i="3"/>
  <c r="D788" i="3"/>
  <c r="D789" i="3"/>
  <c r="D790" i="3"/>
  <c r="D791" i="3"/>
  <c r="D792" i="3"/>
  <c r="D793" i="3"/>
  <c r="D794" i="3"/>
  <c r="D795" i="3"/>
  <c r="D796" i="3"/>
  <c r="D797" i="3"/>
  <c r="D798" i="3"/>
  <c r="D799" i="3"/>
  <c r="D800" i="3"/>
  <c r="D801" i="3"/>
  <c r="D802" i="3"/>
  <c r="D803" i="3"/>
  <c r="D804" i="3"/>
  <c r="D805" i="3"/>
  <c r="D806" i="3"/>
  <c r="D807" i="3"/>
  <c r="D808" i="3"/>
  <c r="D809" i="3"/>
  <c r="D810" i="3"/>
  <c r="D811" i="3"/>
  <c r="D812" i="3"/>
  <c r="D813" i="3"/>
  <c r="D814" i="3"/>
  <c r="D815" i="3"/>
  <c r="D816" i="3"/>
  <c r="D817" i="3"/>
  <c r="D818" i="3"/>
  <c r="D819" i="3"/>
  <c r="D820" i="3"/>
  <c r="D821" i="3"/>
  <c r="D822" i="3"/>
  <c r="D823" i="3"/>
  <c r="D824" i="3"/>
  <c r="D825" i="3"/>
  <c r="D826" i="3"/>
  <c r="D827" i="3"/>
  <c r="D828" i="3"/>
  <c r="D829" i="3"/>
  <c r="D830" i="3"/>
  <c r="D831" i="3"/>
  <c r="D832" i="3"/>
  <c r="D833" i="3"/>
  <c r="D834" i="3"/>
  <c r="D835" i="3"/>
  <c r="D836" i="3"/>
  <c r="D837" i="3"/>
  <c r="D838" i="3"/>
  <c r="D839" i="3"/>
  <c r="D840" i="3"/>
  <c r="D841" i="3"/>
  <c r="D842" i="3"/>
  <c r="D843" i="3"/>
  <c r="D844" i="3"/>
  <c r="D845" i="3"/>
  <c r="D846" i="3"/>
  <c r="D847" i="3"/>
  <c r="D848" i="3"/>
  <c r="D849" i="3"/>
  <c r="D850" i="3"/>
  <c r="D851" i="3"/>
  <c r="D852" i="3"/>
  <c r="D853" i="3"/>
  <c r="D854" i="3"/>
  <c r="D855" i="3"/>
  <c r="D856" i="3"/>
  <c r="D857" i="3"/>
  <c r="D858" i="3"/>
  <c r="D859" i="3"/>
  <c r="D860" i="3"/>
  <c r="D861" i="3"/>
  <c r="D862" i="3"/>
  <c r="D863" i="3"/>
  <c r="D864" i="3"/>
  <c r="D865" i="3"/>
  <c r="D866" i="3"/>
  <c r="D867" i="3"/>
  <c r="D868" i="3"/>
  <c r="D869" i="3"/>
  <c r="D870" i="3"/>
  <c r="D871" i="3"/>
  <c r="D872" i="3"/>
  <c r="D873" i="3"/>
  <c r="D874" i="3"/>
  <c r="D875" i="3"/>
  <c r="D876" i="3"/>
  <c r="D877" i="3"/>
  <c r="D878" i="3"/>
  <c r="D879" i="3"/>
  <c r="D880" i="3"/>
  <c r="D881" i="3"/>
  <c r="D882" i="3"/>
  <c r="D883" i="3"/>
  <c r="D884" i="3"/>
  <c r="D885" i="3"/>
  <c r="D886" i="3"/>
  <c r="D887" i="3"/>
  <c r="D888" i="3"/>
  <c r="D889" i="3"/>
  <c r="D890" i="3"/>
  <c r="D891" i="3"/>
  <c r="D892" i="3"/>
  <c r="D893" i="3"/>
  <c r="D894" i="3"/>
  <c r="D895" i="3"/>
  <c r="D896" i="3"/>
  <c r="D897" i="3"/>
  <c r="D898" i="3"/>
  <c r="D899" i="3"/>
  <c r="D900" i="3"/>
  <c r="D901" i="3"/>
  <c r="D902" i="3"/>
  <c r="D903" i="3"/>
  <c r="D904" i="3"/>
  <c r="D905" i="3"/>
  <c r="D906" i="3"/>
  <c r="D907" i="3"/>
  <c r="D908" i="3"/>
  <c r="D909" i="3"/>
  <c r="D910" i="3"/>
  <c r="D911" i="3"/>
  <c r="D912" i="3"/>
  <c r="D913" i="3"/>
  <c r="D914" i="3"/>
  <c r="D915" i="3"/>
  <c r="D916" i="3"/>
  <c r="D917" i="3"/>
  <c r="D918" i="3"/>
  <c r="D919" i="3"/>
  <c r="D920" i="3"/>
  <c r="D921" i="3"/>
  <c r="D922" i="3"/>
  <c r="D923" i="3"/>
  <c r="D924" i="3"/>
  <c r="D925" i="3"/>
  <c r="D926" i="3"/>
  <c r="D927" i="3"/>
  <c r="D928" i="3"/>
  <c r="D929" i="3"/>
  <c r="D930" i="3"/>
  <c r="D931" i="3"/>
  <c r="D932" i="3"/>
  <c r="D933" i="3"/>
  <c r="D934" i="3"/>
  <c r="D935" i="3"/>
  <c r="D936" i="3"/>
  <c r="D937" i="3"/>
  <c r="D938" i="3"/>
  <c r="D939" i="3"/>
  <c r="D940" i="3"/>
  <c r="D941" i="3"/>
  <c r="D942" i="3"/>
  <c r="D943" i="3"/>
  <c r="D944" i="3"/>
  <c r="D945" i="3"/>
  <c r="D946" i="3"/>
  <c r="D947" i="3"/>
  <c r="D948" i="3"/>
  <c r="D949" i="3"/>
  <c r="D950" i="3"/>
  <c r="D951" i="3"/>
  <c r="D952" i="3"/>
  <c r="D953" i="3"/>
  <c r="D954" i="3"/>
  <c r="D955" i="3"/>
  <c r="D956" i="3"/>
  <c r="D957" i="3"/>
  <c r="D958" i="3"/>
  <c r="D959" i="3"/>
  <c r="D960" i="3"/>
  <c r="D961" i="3"/>
  <c r="D962" i="3"/>
  <c r="D963" i="3"/>
  <c r="D964" i="3"/>
  <c r="D965" i="3"/>
  <c r="D966" i="3"/>
  <c r="D967" i="3"/>
  <c r="D968" i="3"/>
  <c r="D969" i="3"/>
  <c r="D970" i="3"/>
  <c r="D971" i="3"/>
  <c r="D972" i="3"/>
  <c r="D973" i="3"/>
  <c r="D974" i="3"/>
  <c r="D975" i="3"/>
  <c r="D976" i="3"/>
  <c r="D977" i="3"/>
  <c r="D978" i="3"/>
  <c r="D979" i="3"/>
  <c r="D980" i="3"/>
  <c r="D981" i="3"/>
  <c r="D982" i="3"/>
  <c r="D983" i="3"/>
  <c r="D984" i="3"/>
  <c r="F3" i="4"/>
  <c r="I8" i="1" s="1"/>
  <c r="L198" i="3"/>
  <c r="L197" i="3"/>
  <c r="L196" i="3"/>
  <c r="L195" i="3"/>
  <c r="L194" i="3"/>
  <c r="L193" i="3"/>
  <c r="L192" i="3"/>
  <c r="L191" i="3"/>
  <c r="L187" i="3"/>
  <c r="L186" i="3"/>
  <c r="L185" i="3"/>
  <c r="L184" i="3"/>
  <c r="L182" i="3"/>
  <c r="L181" i="3"/>
  <c r="L180" i="3"/>
  <c r="L179" i="3"/>
  <c r="L178" i="3"/>
  <c r="L175" i="3"/>
  <c r="L174" i="3"/>
  <c r="L173" i="3"/>
  <c r="L172" i="3"/>
  <c r="L171" i="3"/>
  <c r="L170" i="3"/>
  <c r="L169" i="3"/>
  <c r="L168" i="3"/>
  <c r="L167" i="3"/>
  <c r="L166" i="3"/>
  <c r="L165" i="3"/>
  <c r="L164" i="3"/>
  <c r="L163" i="3"/>
  <c r="L162" i="3"/>
  <c r="L161" i="3"/>
  <c r="L160" i="3"/>
  <c r="L159" i="3"/>
  <c r="L158" i="3"/>
  <c r="L157" i="3"/>
  <c r="L156" i="3"/>
  <c r="L155" i="3"/>
  <c r="L154" i="3"/>
  <c r="L153" i="3"/>
  <c r="L152" i="3"/>
  <c r="L151" i="3"/>
  <c r="L149" i="3"/>
  <c r="L148" i="3"/>
  <c r="L147" i="3"/>
  <c r="L146" i="3"/>
  <c r="L145" i="3"/>
  <c r="L144" i="3"/>
  <c r="L143" i="3"/>
  <c r="L142" i="3"/>
  <c r="L141" i="3"/>
  <c r="L140" i="3"/>
  <c r="L139" i="3"/>
  <c r="L138" i="3"/>
  <c r="L137" i="3"/>
  <c r="L136" i="3"/>
  <c r="L135" i="3"/>
  <c r="L134" i="3"/>
  <c r="L133" i="3"/>
  <c r="L132" i="3"/>
  <c r="L131" i="3"/>
  <c r="L130" i="3"/>
  <c r="L129" i="3"/>
  <c r="L128" i="3"/>
  <c r="L127" i="3"/>
  <c r="L126" i="3"/>
  <c r="L125" i="3"/>
  <c r="L124" i="3"/>
  <c r="L123" i="3"/>
  <c r="L122" i="3"/>
  <c r="L121" i="3"/>
  <c r="L120" i="3"/>
  <c r="L119" i="3"/>
  <c r="L118" i="3"/>
  <c r="L117" i="3"/>
  <c r="L116" i="3"/>
  <c r="L115" i="3"/>
  <c r="L113" i="3"/>
  <c r="L112" i="3"/>
  <c r="L111" i="3"/>
  <c r="L110" i="3"/>
  <c r="L109" i="3"/>
  <c r="L107" i="3"/>
  <c r="L106" i="3"/>
  <c r="L105" i="3"/>
  <c r="L104" i="3"/>
  <c r="L103" i="3"/>
  <c r="L99" i="3"/>
  <c r="L98" i="3"/>
  <c r="L97" i="3"/>
  <c r="L96" i="3"/>
  <c r="L95" i="3"/>
  <c r="L94" i="3"/>
  <c r="L93" i="3"/>
  <c r="L92" i="3"/>
  <c r="L91" i="3"/>
  <c r="L90" i="3"/>
  <c r="L89" i="3"/>
  <c r="L88" i="3"/>
  <c r="L86" i="3"/>
  <c r="L85" i="3"/>
  <c r="L84" i="3"/>
  <c r="L83" i="3"/>
  <c r="L82" i="3"/>
  <c r="L81" i="3"/>
  <c r="L80" i="3"/>
  <c r="L79" i="3"/>
  <c r="L78" i="3"/>
  <c r="L77" i="3"/>
  <c r="L75" i="3"/>
  <c r="L74" i="3"/>
  <c r="L73" i="3"/>
  <c r="L72" i="3"/>
  <c r="L71" i="3"/>
  <c r="L70" i="3"/>
  <c r="L69" i="3"/>
  <c r="L67" i="3"/>
  <c r="L66" i="3"/>
  <c r="L65" i="3"/>
  <c r="L64" i="3"/>
  <c r="L62" i="3"/>
  <c r="L61" i="3"/>
  <c r="L60" i="3"/>
  <c r="L59" i="3"/>
  <c r="L58" i="3"/>
  <c r="L57" i="3"/>
  <c r="L56" i="3"/>
  <c r="L55" i="3"/>
  <c r="L54" i="3"/>
  <c r="L53" i="3"/>
  <c r="L52" i="3"/>
  <c r="L51" i="3"/>
  <c r="L50" i="3"/>
  <c r="L49" i="3"/>
  <c r="L48" i="3"/>
  <c r="L47" i="3"/>
  <c r="L46" i="3"/>
  <c r="L45" i="3"/>
  <c r="L44" i="3"/>
  <c r="L43" i="3"/>
  <c r="L42" i="3"/>
  <c r="L41" i="3"/>
  <c r="L40" i="3"/>
  <c r="L39" i="3"/>
  <c r="L38" i="3"/>
  <c r="L37" i="3"/>
  <c r="L36" i="3"/>
  <c r="L35" i="3"/>
  <c r="L34" i="3"/>
  <c r="L33" i="3"/>
  <c r="L32" i="3"/>
  <c r="L31" i="3"/>
  <c r="L30" i="3"/>
  <c r="L29" i="3"/>
  <c r="L28" i="3"/>
  <c r="L26" i="3"/>
  <c r="L25" i="3"/>
  <c r="L24" i="3"/>
  <c r="L23" i="3"/>
  <c r="L22" i="3"/>
  <c r="L21" i="3"/>
  <c r="L20" i="3"/>
  <c r="L19" i="3"/>
  <c r="L18" i="3"/>
  <c r="L17" i="3"/>
  <c r="L16" i="3"/>
  <c r="L4" i="3"/>
  <c r="E4" i="3"/>
  <c r="D4" i="3"/>
  <c r="G493" i="2"/>
  <c r="G492" i="2"/>
  <c r="G489" i="2"/>
  <c r="G488" i="2"/>
  <c r="G487" i="2"/>
  <c r="G486" i="2"/>
  <c r="G485" i="2"/>
  <c r="G484" i="2"/>
  <c r="G483" i="2"/>
  <c r="G482" i="2"/>
  <c r="G481" i="2"/>
  <c r="G480" i="2"/>
  <c r="G479" i="2"/>
  <c r="G478" i="2"/>
  <c r="G477" i="2"/>
  <c r="G476" i="2"/>
  <c r="G475" i="2"/>
  <c r="G474" i="2"/>
  <c r="G473" i="2"/>
  <c r="G472" i="2"/>
  <c r="G471" i="2"/>
  <c r="G470" i="2"/>
  <c r="G469" i="2"/>
  <c r="G468" i="2"/>
  <c r="G467" i="2"/>
  <c r="G466" i="2"/>
  <c r="G465" i="2"/>
  <c r="G464" i="2"/>
  <c r="G463" i="2"/>
  <c r="G462" i="2"/>
  <c r="G461" i="2"/>
  <c r="G460" i="2"/>
  <c r="G459" i="2"/>
  <c r="G458" i="2"/>
  <c r="G457" i="2"/>
  <c r="G456" i="2"/>
  <c r="G455" i="2"/>
  <c r="G454" i="2"/>
  <c r="G453" i="2"/>
  <c r="G452" i="2"/>
  <c r="G451" i="2"/>
  <c r="G450" i="2"/>
  <c r="G449" i="2"/>
  <c r="G448" i="2"/>
  <c r="G447" i="2"/>
  <c r="G446" i="2"/>
  <c r="G445" i="2"/>
  <c r="G444" i="2"/>
  <c r="G443" i="2"/>
  <c r="G442" i="2"/>
  <c r="G441" i="2"/>
  <c r="G440" i="2"/>
  <c r="G439" i="2"/>
  <c r="G438" i="2"/>
  <c r="G437" i="2"/>
  <c r="G436" i="2"/>
  <c r="G435" i="2"/>
  <c r="G434" i="2"/>
  <c r="G433" i="2"/>
  <c r="G432" i="2"/>
  <c r="G431" i="2"/>
  <c r="G430" i="2"/>
  <c r="G429" i="2"/>
  <c r="G428" i="2"/>
  <c r="G427" i="2"/>
  <c r="G426" i="2"/>
  <c r="G425" i="2"/>
  <c r="G424" i="2"/>
  <c r="G422" i="2"/>
  <c r="G421" i="2"/>
  <c r="G420" i="2"/>
  <c r="G419" i="2"/>
  <c r="G418" i="2"/>
  <c r="G417" i="2"/>
  <c r="G416" i="2"/>
  <c r="G415" i="2"/>
  <c r="G414" i="2"/>
  <c r="G413" i="2"/>
  <c r="G412" i="2"/>
  <c r="G411" i="2"/>
  <c r="G410" i="2"/>
  <c r="G409" i="2"/>
  <c r="G408" i="2"/>
  <c r="G407" i="2"/>
  <c r="G406" i="2"/>
  <c r="G405" i="2"/>
  <c r="G404" i="2"/>
  <c r="G403" i="2"/>
  <c r="G402" i="2"/>
  <c r="G401" i="2"/>
  <c r="G400" i="2"/>
  <c r="G399" i="2"/>
  <c r="G398" i="2"/>
  <c r="G397" i="2"/>
  <c r="G396" i="2"/>
  <c r="G395" i="2"/>
  <c r="G394" i="2"/>
  <c r="G393" i="2"/>
  <c r="G392" i="2"/>
  <c r="G391" i="2"/>
  <c r="G390" i="2"/>
  <c r="G389" i="2"/>
  <c r="G388" i="2"/>
  <c r="G387" i="2"/>
  <c r="G386" i="2"/>
  <c r="G385" i="2"/>
  <c r="G384" i="2"/>
  <c r="G383" i="2"/>
  <c r="G382" i="2"/>
  <c r="G381" i="2"/>
  <c r="G380" i="2"/>
  <c r="G379" i="2"/>
  <c r="G378" i="2"/>
  <c r="G377" i="2"/>
  <c r="G376" i="2"/>
  <c r="G375" i="2"/>
  <c r="G374" i="2"/>
  <c r="G373" i="2"/>
  <c r="G372" i="2"/>
  <c r="G371" i="2"/>
  <c r="G370" i="2"/>
  <c r="G369" i="2"/>
  <c r="G368" i="2"/>
  <c r="G367" i="2"/>
  <c r="G366" i="2"/>
  <c r="G365" i="2"/>
  <c r="G364" i="2"/>
  <c r="G363" i="2"/>
  <c r="G362" i="2"/>
  <c r="G361" i="2"/>
  <c r="G360" i="2"/>
  <c r="G359" i="2"/>
  <c r="G358" i="2"/>
  <c r="G357" i="2"/>
  <c r="G356" i="2"/>
  <c r="G355" i="2"/>
  <c r="G354" i="2"/>
  <c r="G353" i="2"/>
  <c r="G352" i="2"/>
  <c r="G351" i="2"/>
  <c r="G350" i="2"/>
  <c r="G349" i="2"/>
  <c r="G348" i="2"/>
  <c r="G347" i="2"/>
  <c r="G346" i="2"/>
  <c r="G345" i="2"/>
  <c r="G344" i="2"/>
  <c r="G343" i="2"/>
  <c r="G342" i="2"/>
  <c r="G341" i="2"/>
  <c r="G340" i="2"/>
  <c r="G339" i="2"/>
  <c r="G338" i="2"/>
  <c r="G337" i="2"/>
  <c r="G336" i="2"/>
  <c r="G335" i="2"/>
  <c r="G334" i="2"/>
  <c r="G333" i="2"/>
  <c r="G332" i="2"/>
  <c r="G331" i="2"/>
  <c r="G330" i="2"/>
  <c r="G329" i="2"/>
  <c r="G328" i="2"/>
  <c r="G327" i="2"/>
  <c r="G326" i="2"/>
  <c r="G325" i="2"/>
  <c r="G324" i="2"/>
  <c r="G323" i="2"/>
  <c r="G322" i="2"/>
  <c r="G321" i="2"/>
  <c r="G320" i="2"/>
  <c r="G319" i="2"/>
  <c r="G318" i="2"/>
  <c r="G317" i="2"/>
  <c r="G316" i="2"/>
  <c r="G315" i="2"/>
  <c r="G314" i="2"/>
  <c r="G313" i="2"/>
  <c r="G312" i="2"/>
  <c r="G311" i="2"/>
  <c r="G310" i="2"/>
  <c r="G309" i="2"/>
  <c r="G308" i="2"/>
  <c r="G307" i="2"/>
  <c r="G306" i="2"/>
  <c r="G305" i="2"/>
  <c r="G304" i="2"/>
  <c r="G303" i="2"/>
  <c r="G302" i="2"/>
  <c r="G301" i="2"/>
  <c r="G300" i="2"/>
  <c r="G299" i="2"/>
  <c r="G298" i="2"/>
  <c r="G297" i="2"/>
  <c r="G296" i="2"/>
  <c r="G295" i="2"/>
  <c r="G294" i="2"/>
  <c r="G293" i="2"/>
  <c r="G292" i="2"/>
  <c r="G291" i="2"/>
  <c r="G290" i="2"/>
  <c r="G289" i="2"/>
  <c r="G288" i="2"/>
  <c r="G287" i="2"/>
  <c r="G286" i="2"/>
  <c r="G285" i="2"/>
  <c r="G284" i="2"/>
  <c r="G283" i="2"/>
  <c r="G282" i="2"/>
  <c r="G281" i="2"/>
  <c r="G280" i="2"/>
  <c r="G279" i="2"/>
  <c r="G278" i="2"/>
  <c r="G277" i="2"/>
  <c r="G276" i="2"/>
  <c r="G275" i="2"/>
  <c r="G274" i="2"/>
  <c r="G273" i="2"/>
  <c r="G272" i="2"/>
  <c r="G271" i="2"/>
  <c r="G270" i="2"/>
  <c r="G269" i="2"/>
  <c r="G268" i="2"/>
  <c r="G267" i="2"/>
  <c r="G266" i="2"/>
  <c r="G265" i="2"/>
  <c r="G264" i="2"/>
  <c r="G263" i="2"/>
  <c r="G262" i="2"/>
  <c r="G261" i="2"/>
  <c r="G260" i="2"/>
  <c r="G259" i="2"/>
  <c r="G258" i="2"/>
  <c r="G257" i="2"/>
  <c r="G256" i="2"/>
  <c r="G255" i="2"/>
  <c r="G254" i="2"/>
  <c r="G253" i="2"/>
  <c r="G252" i="2"/>
  <c r="G251" i="2"/>
  <c r="G250" i="2"/>
  <c r="G249" i="2"/>
  <c r="G248" i="2"/>
  <c r="G247" i="2"/>
  <c r="G246" i="2"/>
  <c r="G245" i="2"/>
  <c r="G244" i="2"/>
  <c r="G243" i="2"/>
  <c r="G242" i="2"/>
  <c r="G241" i="2"/>
  <c r="G240" i="2"/>
  <c r="G239" i="2"/>
  <c r="G238" i="2"/>
  <c r="G237" i="2"/>
  <c r="G236" i="2"/>
  <c r="G235" i="2"/>
  <c r="G234" i="2"/>
  <c r="G233" i="2"/>
  <c r="G232" i="2"/>
  <c r="G231" i="2"/>
  <c r="G230" i="2"/>
  <c r="G229" i="2"/>
  <c r="G228" i="2"/>
  <c r="G227" i="2"/>
  <c r="G226" i="2"/>
  <c r="G225" i="2"/>
  <c r="G224" i="2"/>
  <c r="G223" i="2"/>
  <c r="G222" i="2"/>
  <c r="G221" i="2"/>
  <c r="G220" i="2"/>
  <c r="G219" i="2"/>
  <c r="G218" i="2"/>
  <c r="G217" i="2"/>
  <c r="G216" i="2"/>
  <c r="G215" i="2"/>
  <c r="G214" i="2"/>
  <c r="G213" i="2"/>
  <c r="G212" i="2"/>
  <c r="G211" i="2"/>
  <c r="G210" i="2"/>
  <c r="G209" i="2"/>
  <c r="G208" i="2"/>
  <c r="G207" i="2"/>
  <c r="G206" i="2"/>
  <c r="G203" i="2"/>
  <c r="G202" i="2"/>
  <c r="G201" i="2"/>
  <c r="G200" i="2"/>
  <c r="G199" i="2"/>
  <c r="G198" i="2"/>
  <c r="G197" i="2"/>
  <c r="G196" i="2"/>
  <c r="G195" i="2"/>
  <c r="G194" i="2"/>
  <c r="G193" i="2"/>
  <c r="G192" i="2"/>
  <c r="G191" i="2"/>
  <c r="G190" i="2"/>
  <c r="G185" i="2"/>
  <c r="G184" i="2"/>
  <c r="G183" i="2"/>
  <c r="G182" i="2"/>
  <c r="G181" i="2"/>
  <c r="G180" i="2"/>
  <c r="G179" i="2"/>
  <c r="G178" i="2"/>
  <c r="G177" i="2"/>
  <c r="G176" i="2"/>
  <c r="G175" i="2"/>
  <c r="G174" i="2"/>
  <c r="G173" i="2"/>
  <c r="G172" i="2"/>
  <c r="G171" i="2"/>
  <c r="G170" i="2"/>
  <c r="G169" i="2"/>
  <c r="G168" i="2"/>
  <c r="G167" i="2"/>
  <c r="G166" i="2"/>
  <c r="G165" i="2"/>
  <c r="G164" i="2"/>
  <c r="G163" i="2"/>
  <c r="G162" i="2"/>
  <c r="G161" i="2"/>
  <c r="G160" i="2"/>
  <c r="G159" i="2"/>
  <c r="G158" i="2"/>
  <c r="G157" i="2"/>
  <c r="G156" i="2"/>
  <c r="G155" i="2"/>
  <c r="G154" i="2"/>
  <c r="G153" i="2"/>
  <c r="G152" i="2"/>
  <c r="G151" i="2"/>
  <c r="G150" i="2"/>
  <c r="G149" i="2"/>
  <c r="G148" i="2"/>
  <c r="G147" i="2"/>
  <c r="G146" i="2"/>
  <c r="G145" i="2"/>
  <c r="G144" i="2"/>
  <c r="G143" i="2"/>
  <c r="G142" i="2"/>
  <c r="G141" i="2"/>
  <c r="G140" i="2"/>
  <c r="G139" i="2"/>
  <c r="G138" i="2"/>
  <c r="G137" i="2"/>
  <c r="G136" i="2"/>
  <c r="G135" i="2"/>
  <c r="G134" i="2"/>
  <c r="G133" i="2"/>
  <c r="G132" i="2"/>
  <c r="G131" i="2"/>
  <c r="G130" i="2"/>
  <c r="G129" i="2"/>
  <c r="G128" i="2"/>
  <c r="G127" i="2"/>
  <c r="G126" i="2"/>
  <c r="G125" i="2"/>
  <c r="G124" i="2"/>
  <c r="G123" i="2"/>
  <c r="G122" i="2"/>
  <c r="G121" i="2"/>
  <c r="G120" i="2"/>
  <c r="G119" i="2"/>
  <c r="G118" i="2"/>
  <c r="G117" i="2"/>
  <c r="G116" i="2"/>
  <c r="G115" i="2"/>
  <c r="G114" i="2"/>
  <c r="G113" i="2"/>
  <c r="G112" i="2"/>
  <c r="G111" i="2"/>
  <c r="G110" i="2"/>
  <c r="G109" i="2"/>
  <c r="G108" i="2"/>
  <c r="G107" i="2"/>
  <c r="G106" i="2"/>
  <c r="G105" i="2"/>
  <c r="G104" i="2"/>
  <c r="G103" i="2"/>
  <c r="G102" i="2"/>
  <c r="G101" i="2"/>
  <c r="G98" i="2"/>
  <c r="G97" i="2"/>
  <c r="G96" i="2"/>
  <c r="G95" i="2"/>
  <c r="G94" i="2"/>
  <c r="G93" i="2"/>
  <c r="G92" i="2"/>
  <c r="G91" i="2"/>
  <c r="G90" i="2"/>
  <c r="G89" i="2"/>
  <c r="G88" i="2"/>
  <c r="G87" i="2"/>
  <c r="G86" i="2"/>
  <c r="G85" i="2"/>
  <c r="G84" i="2"/>
  <c r="G83" i="2"/>
  <c r="G82" i="2"/>
  <c r="G81" i="2"/>
  <c r="G80" i="2"/>
  <c r="G79" i="2"/>
  <c r="G78" i="2"/>
  <c r="G77" i="2"/>
  <c r="G76" i="2"/>
  <c r="G75" i="2"/>
  <c r="G74" i="2"/>
  <c r="G73" i="2"/>
  <c r="G72" i="2"/>
  <c r="G71" i="2"/>
  <c r="G70" i="2"/>
  <c r="G69" i="2"/>
  <c r="G68" i="2"/>
  <c r="G67" i="2"/>
  <c r="G66" i="2"/>
  <c r="G65" i="2"/>
  <c r="G64" i="2"/>
  <c r="G63" i="2"/>
  <c r="G62" i="2"/>
  <c r="G61" i="2"/>
  <c r="G60" i="2"/>
  <c r="G59" i="2"/>
  <c r="G58" i="2"/>
  <c r="G57" i="2"/>
  <c r="G56" i="2"/>
  <c r="G55" i="2"/>
  <c r="G54" i="2"/>
  <c r="G53" i="2"/>
  <c r="G52" i="2"/>
  <c r="G51" i="2"/>
  <c r="G50" i="2"/>
  <c r="G49" i="2"/>
  <c r="G48" i="2"/>
  <c r="G47" i="2"/>
  <c r="G46" i="2"/>
  <c r="G45" i="2"/>
  <c r="G44" i="2"/>
  <c r="G43" i="2"/>
  <c r="G42" i="2"/>
  <c r="G41" i="2"/>
  <c r="G40" i="2"/>
  <c r="G39" i="2"/>
  <c r="G38" i="2"/>
  <c r="G37" i="2"/>
  <c r="G36" i="2"/>
  <c r="G35" i="2"/>
  <c r="G34" i="2"/>
  <c r="G33" i="2"/>
  <c r="G32" i="2"/>
  <c r="G31" i="2"/>
  <c r="G30" i="2"/>
  <c r="G29" i="2"/>
  <c r="G28" i="2"/>
  <c r="G27" i="2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6" i="2"/>
  <c r="G4" i="2"/>
  <c r="C4" i="2"/>
  <c r="C5" i="3" s="1"/>
  <c r="G3" i="2"/>
  <c r="C3" i="2"/>
  <c r="S10" i="3" l="1" a="1"/>
  <c r="S10" i="3" s="1"/>
  <c r="U10" i="3" a="1"/>
  <c r="U10" i="3" s="1"/>
  <c r="T10" i="3" a="1"/>
  <c r="T10" i="3" s="1"/>
  <c r="R10" i="3" a="1"/>
  <c r="R10" i="3" s="1"/>
  <c r="H190" i="2"/>
  <c r="F191" i="3" s="1"/>
  <c r="H101" i="2"/>
  <c r="F102" i="3" s="1"/>
  <c r="C4" i="3"/>
  <c r="E8" i="1"/>
  <c r="R6" i="3"/>
  <c r="R5" i="3"/>
  <c r="H154" i="2"/>
  <c r="F155" i="3" s="1"/>
  <c r="H25" i="2"/>
  <c r="F26" i="3" s="1"/>
  <c r="H41" i="2"/>
  <c r="F42" i="3" s="1"/>
  <c r="H57" i="2"/>
  <c r="F58" i="3" s="1"/>
  <c r="H73" i="2"/>
  <c r="F74" i="3" s="1"/>
  <c r="H89" i="2"/>
  <c r="F90" i="3" s="1"/>
  <c r="H107" i="2"/>
  <c r="F108" i="3" s="1"/>
  <c r="H123" i="2"/>
  <c r="F124" i="3" s="1"/>
  <c r="H139" i="2"/>
  <c r="F140" i="3" s="1"/>
  <c r="H10" i="2"/>
  <c r="F11" i="3" s="1"/>
  <c r="H156" i="2"/>
  <c r="F157" i="3" s="1"/>
  <c r="H172" i="2"/>
  <c r="F173" i="3" s="1"/>
  <c r="H125" i="2"/>
  <c r="F126" i="3" s="1"/>
  <c r="H141" i="2"/>
  <c r="F142" i="3" s="1"/>
  <c r="H165" i="2"/>
  <c r="F166" i="3" s="1"/>
  <c r="H105" i="2"/>
  <c r="F106" i="3" s="1"/>
  <c r="H92" i="2"/>
  <c r="F93" i="3" s="1"/>
  <c r="H118" i="2"/>
  <c r="F119" i="3" s="1"/>
  <c r="H134" i="2"/>
  <c r="F135" i="3" s="1"/>
  <c r="H150" i="2"/>
  <c r="F151" i="3" s="1"/>
  <c r="H174" i="2"/>
  <c r="F175" i="3" s="1"/>
  <c r="H170" i="2"/>
  <c r="F171" i="3" s="1"/>
  <c r="H194" i="2"/>
  <c r="F195" i="3" s="1"/>
  <c r="H186" i="2"/>
  <c r="F187" i="3" s="1"/>
  <c r="H94" i="2"/>
  <c r="F95" i="3" s="1"/>
  <c r="H312" i="2"/>
  <c r="F313" i="3" s="1"/>
  <c r="H196" i="2"/>
  <c r="F197" i="3" s="1"/>
  <c r="H342" i="2"/>
  <c r="F343" i="3" s="1"/>
  <c r="H203" i="2"/>
  <c r="F204" i="3" s="1"/>
  <c r="H212" i="2"/>
  <c r="F213" i="3" s="1"/>
  <c r="H220" i="2"/>
  <c r="F221" i="3" s="1"/>
  <c r="H232" i="2"/>
  <c r="F233" i="3" s="1"/>
  <c r="H240" i="2"/>
  <c r="F241" i="3" s="1"/>
  <c r="H244" i="2"/>
  <c r="F245" i="3" s="1"/>
  <c r="H252" i="2"/>
  <c r="F253" i="3" s="1"/>
  <c r="H260" i="2"/>
  <c r="F261" i="3" s="1"/>
  <c r="H267" i="2"/>
  <c r="F268" i="3" s="1"/>
  <c r="H271" i="2"/>
  <c r="F272" i="3" s="1"/>
  <c r="H278" i="2"/>
  <c r="F279" i="3" s="1"/>
  <c r="H282" i="2"/>
  <c r="F283" i="3" s="1"/>
  <c r="H286" i="2"/>
  <c r="F287" i="3" s="1"/>
  <c r="H290" i="2"/>
  <c r="F291" i="3" s="1"/>
  <c r="H294" i="2"/>
  <c r="F295" i="3" s="1"/>
  <c r="H298" i="2"/>
  <c r="F299" i="3" s="1"/>
  <c r="H302" i="2"/>
  <c r="F303" i="3" s="1"/>
  <c r="H306" i="2"/>
  <c r="F307" i="3" s="1"/>
  <c r="H310" i="2"/>
  <c r="F311" i="3" s="1"/>
  <c r="H345" i="2"/>
  <c r="F346" i="3" s="1"/>
  <c r="H349" i="2"/>
  <c r="F350" i="3" s="1"/>
  <c r="H353" i="2"/>
  <c r="F354" i="3" s="1"/>
  <c r="H357" i="2"/>
  <c r="F358" i="3" s="1"/>
  <c r="H361" i="2"/>
  <c r="F362" i="3" s="1"/>
  <c r="H371" i="2"/>
  <c r="F372" i="3" s="1"/>
  <c r="H433" i="2"/>
  <c r="F434" i="3" s="1"/>
  <c r="H437" i="2"/>
  <c r="F438" i="3" s="1"/>
  <c r="H441" i="2"/>
  <c r="F442" i="3" s="1"/>
  <c r="H445" i="2"/>
  <c r="F446" i="3" s="1"/>
  <c r="H449" i="2"/>
  <c r="F450" i="3" s="1"/>
  <c r="H453" i="2"/>
  <c r="F454" i="3" s="1"/>
  <c r="H457" i="2"/>
  <c r="F458" i="3" s="1"/>
  <c r="H461" i="2"/>
  <c r="F462" i="3" s="1"/>
  <c r="H465" i="2"/>
  <c r="F466" i="3" s="1"/>
  <c r="H469" i="2"/>
  <c r="F470" i="3" s="1"/>
  <c r="H473" i="2"/>
  <c r="F474" i="3" s="1"/>
  <c r="H477" i="2"/>
  <c r="F478" i="3" s="1"/>
  <c r="H488" i="2"/>
  <c r="F489" i="3" s="1"/>
  <c r="H216" i="2"/>
  <c r="F217" i="3" s="1"/>
  <c r="H224" i="2"/>
  <c r="F225" i="3" s="1"/>
  <c r="H228" i="2"/>
  <c r="F229" i="3" s="1"/>
  <c r="H236" i="2"/>
  <c r="F237" i="3" s="1"/>
  <c r="H248" i="2"/>
  <c r="F249" i="3" s="1"/>
  <c r="H314" i="2"/>
  <c r="F315" i="3" s="1"/>
  <c r="H318" i="2"/>
  <c r="F319" i="3" s="1"/>
  <c r="H322" i="2"/>
  <c r="F323" i="3" s="1"/>
  <c r="H326" i="2"/>
  <c r="F327" i="3" s="1"/>
  <c r="H330" i="2"/>
  <c r="F331" i="3" s="1"/>
  <c r="H334" i="2"/>
  <c r="F335" i="3" s="1"/>
  <c r="H338" i="2"/>
  <c r="F339" i="3" s="1"/>
  <c r="H375" i="2"/>
  <c r="F376" i="3" s="1"/>
  <c r="H379" i="2"/>
  <c r="F380" i="3" s="1"/>
  <c r="H382" i="2"/>
  <c r="F383" i="3" s="1"/>
  <c r="H386" i="2"/>
  <c r="F387" i="3" s="1"/>
  <c r="H390" i="2"/>
  <c r="F391" i="3" s="1"/>
  <c r="H394" i="2"/>
  <c r="F395" i="3" s="1"/>
  <c r="H398" i="2"/>
  <c r="F399" i="3" s="1"/>
  <c r="H402" i="2"/>
  <c r="F403" i="3" s="1"/>
  <c r="H406" i="2"/>
  <c r="F407" i="3" s="1"/>
  <c r="H410" i="2"/>
  <c r="F411" i="3" s="1"/>
  <c r="H417" i="2"/>
  <c r="F418" i="3" s="1"/>
  <c r="H426" i="2"/>
  <c r="F427" i="3" s="1"/>
  <c r="H193" i="2"/>
  <c r="F194" i="3" s="1"/>
  <c r="H315" i="2"/>
  <c r="F316" i="3" s="1"/>
  <c r="H319" i="2"/>
  <c r="F320" i="3" s="1"/>
  <c r="H323" i="2"/>
  <c r="F324" i="3" s="1"/>
  <c r="H327" i="2"/>
  <c r="F328" i="3" s="1"/>
  <c r="H331" i="2"/>
  <c r="F332" i="3" s="1"/>
  <c r="H335" i="2"/>
  <c r="F336" i="3" s="1"/>
  <c r="H339" i="2"/>
  <c r="F340" i="3" s="1"/>
  <c r="H372" i="2"/>
  <c r="F373" i="3" s="1"/>
  <c r="H376" i="2"/>
  <c r="F377" i="3" s="1"/>
  <c r="H383" i="2"/>
  <c r="F384" i="3" s="1"/>
  <c r="H387" i="2"/>
  <c r="F388" i="3" s="1"/>
  <c r="H391" i="2"/>
  <c r="F392" i="3" s="1"/>
  <c r="H395" i="2"/>
  <c r="F396" i="3" s="1"/>
  <c r="H399" i="2"/>
  <c r="F400" i="3" s="1"/>
  <c r="H403" i="2"/>
  <c r="F404" i="3" s="1"/>
  <c r="H407" i="2"/>
  <c r="F408" i="3" s="1"/>
  <c r="H411" i="2"/>
  <c r="F412" i="3" s="1"/>
  <c r="H414" i="2"/>
  <c r="F415" i="3" s="1"/>
  <c r="H418" i="2"/>
  <c r="F419" i="3" s="1"/>
  <c r="H422" i="2"/>
  <c r="F423" i="3" s="1"/>
  <c r="H427" i="2"/>
  <c r="F428" i="3" s="1"/>
  <c r="H201" i="2"/>
  <c r="F202" i="3" s="1"/>
  <c r="H210" i="2"/>
  <c r="F211" i="3" s="1"/>
  <c r="H214" i="2"/>
  <c r="F215" i="3" s="1"/>
  <c r="H218" i="2"/>
  <c r="F219" i="3" s="1"/>
  <c r="H222" i="2"/>
  <c r="F223" i="3" s="1"/>
  <c r="H226" i="2"/>
  <c r="F227" i="3" s="1"/>
  <c r="H230" i="2"/>
  <c r="F231" i="3" s="1"/>
  <c r="H234" i="2"/>
  <c r="F235" i="3" s="1"/>
  <c r="H238" i="2"/>
  <c r="F239" i="3" s="1"/>
  <c r="H242" i="2"/>
  <c r="F243" i="3" s="1"/>
  <c r="H246" i="2"/>
  <c r="F247" i="3" s="1"/>
  <c r="H250" i="2"/>
  <c r="F251" i="3" s="1"/>
  <c r="H262" i="2"/>
  <c r="F263" i="3" s="1"/>
  <c r="H265" i="2"/>
  <c r="F266" i="3" s="1"/>
  <c r="H269" i="2"/>
  <c r="F270" i="3" s="1"/>
  <c r="H273" i="2"/>
  <c r="F274" i="3" s="1"/>
  <c r="H276" i="2"/>
  <c r="F277" i="3" s="1"/>
  <c r="H280" i="2"/>
  <c r="F281" i="3" s="1"/>
  <c r="H284" i="2"/>
  <c r="F285" i="3" s="1"/>
  <c r="H288" i="2"/>
  <c r="F289" i="3" s="1"/>
  <c r="H292" i="2"/>
  <c r="F293" i="3" s="1"/>
  <c r="H296" i="2"/>
  <c r="F297" i="3" s="1"/>
  <c r="H300" i="2"/>
  <c r="F301" i="3" s="1"/>
  <c r="H304" i="2"/>
  <c r="F305" i="3" s="1"/>
  <c r="H308" i="2"/>
  <c r="F309" i="3" s="1"/>
  <c r="H343" i="2"/>
  <c r="F344" i="3" s="1"/>
  <c r="H347" i="2"/>
  <c r="F348" i="3" s="1"/>
  <c r="H351" i="2"/>
  <c r="F352" i="3" s="1"/>
  <c r="H355" i="2"/>
  <c r="F356" i="3" s="1"/>
  <c r="H359" i="2"/>
  <c r="F360" i="3" s="1"/>
  <c r="H363" i="2"/>
  <c r="F364" i="3" s="1"/>
  <c r="H367" i="2"/>
  <c r="F368" i="3" s="1"/>
  <c r="H435" i="2"/>
  <c r="F436" i="3" s="1"/>
  <c r="H439" i="2"/>
  <c r="F440" i="3" s="1"/>
  <c r="H443" i="2"/>
  <c r="F444" i="3" s="1"/>
  <c r="H447" i="2"/>
  <c r="F448" i="3" s="1"/>
  <c r="H451" i="2"/>
  <c r="F452" i="3" s="1"/>
  <c r="H455" i="2"/>
  <c r="F456" i="3" s="1"/>
  <c r="H459" i="2"/>
  <c r="F460" i="3" s="1"/>
  <c r="H463" i="2"/>
  <c r="F464" i="3" s="1"/>
  <c r="H467" i="2"/>
  <c r="F468" i="3" s="1"/>
  <c r="H471" i="2"/>
  <c r="F472" i="3" s="1"/>
  <c r="H475" i="2"/>
  <c r="F476" i="3" s="1"/>
  <c r="H479" i="2"/>
  <c r="F480" i="3" s="1"/>
  <c r="H482" i="2"/>
  <c r="F483" i="3" s="1"/>
  <c r="F491" i="3"/>
  <c r="H200" i="2"/>
  <c r="F201" i="3" s="1"/>
  <c r="H213" i="2"/>
  <c r="F214" i="3" s="1"/>
  <c r="H225" i="2"/>
  <c r="F226" i="3" s="1"/>
  <c r="H237" i="2"/>
  <c r="F238" i="3" s="1"/>
  <c r="H249" i="2"/>
  <c r="F250" i="3" s="1"/>
  <c r="H261" i="2"/>
  <c r="F262" i="3" s="1"/>
  <c r="H272" i="2"/>
  <c r="F273" i="3" s="1"/>
  <c r="H283" i="2"/>
  <c r="F284" i="3" s="1"/>
  <c r="H299" i="2"/>
  <c r="F300" i="3" s="1"/>
  <c r="H307" i="2"/>
  <c r="F308" i="3" s="1"/>
  <c r="H346" i="2"/>
  <c r="F347" i="3" s="1"/>
  <c r="H358" i="2"/>
  <c r="F359" i="3" s="1"/>
  <c r="H430" i="2"/>
  <c r="F431" i="3" s="1"/>
  <c r="H442" i="2"/>
  <c r="F443" i="3" s="1"/>
  <c r="H454" i="2"/>
  <c r="F455" i="3" s="1"/>
  <c r="H466" i="2"/>
  <c r="F467" i="3" s="1"/>
  <c r="H478" i="2"/>
  <c r="F479" i="3" s="1"/>
  <c r="H489" i="2"/>
  <c r="F490" i="3" s="1"/>
  <c r="H316" i="2"/>
  <c r="F317" i="3" s="1"/>
  <c r="H320" i="2"/>
  <c r="F321" i="3" s="1"/>
  <c r="H324" i="2"/>
  <c r="F325" i="3" s="1"/>
  <c r="H328" i="2"/>
  <c r="F329" i="3" s="1"/>
  <c r="H332" i="2"/>
  <c r="F333" i="3" s="1"/>
  <c r="H336" i="2"/>
  <c r="F337" i="3" s="1"/>
  <c r="H340" i="2"/>
  <c r="F341" i="3" s="1"/>
  <c r="H373" i="2"/>
  <c r="F374" i="3" s="1"/>
  <c r="H377" i="2"/>
  <c r="F378" i="3" s="1"/>
  <c r="H380" i="2"/>
  <c r="F381" i="3" s="1"/>
  <c r="H384" i="2"/>
  <c r="F385" i="3" s="1"/>
  <c r="H388" i="2"/>
  <c r="F389" i="3" s="1"/>
  <c r="H392" i="2"/>
  <c r="F393" i="3" s="1"/>
  <c r="H396" i="2"/>
  <c r="F397" i="3" s="1"/>
  <c r="H400" i="2"/>
  <c r="F401" i="3" s="1"/>
  <c r="H404" i="2"/>
  <c r="F405" i="3" s="1"/>
  <c r="H408" i="2"/>
  <c r="F409" i="3" s="1"/>
  <c r="H412" i="2"/>
  <c r="F413" i="3" s="1"/>
  <c r="H415" i="2"/>
  <c r="F416" i="3" s="1"/>
  <c r="H419" i="2"/>
  <c r="F420" i="3" s="1"/>
  <c r="H428" i="2"/>
  <c r="F429" i="3" s="1"/>
  <c r="H209" i="2"/>
  <c r="F210" i="3" s="1"/>
  <c r="H221" i="2"/>
  <c r="F222" i="3" s="1"/>
  <c r="H233" i="2"/>
  <c r="F234" i="3" s="1"/>
  <c r="H245" i="2"/>
  <c r="F246" i="3" s="1"/>
  <c r="H268" i="2"/>
  <c r="F269" i="3" s="1"/>
  <c r="H279" i="2"/>
  <c r="F280" i="3" s="1"/>
  <c r="H291" i="2"/>
  <c r="F292" i="3" s="1"/>
  <c r="H303" i="2"/>
  <c r="F304" i="3" s="1"/>
  <c r="H354" i="2"/>
  <c r="F355" i="3" s="1"/>
  <c r="H366" i="2"/>
  <c r="F367" i="3" s="1"/>
  <c r="H438" i="2"/>
  <c r="F439" i="3" s="1"/>
  <c r="H458" i="2"/>
  <c r="F459" i="3" s="1"/>
  <c r="H470" i="2"/>
  <c r="F471" i="3" s="1"/>
  <c r="H481" i="2"/>
  <c r="F482" i="3" s="1"/>
  <c r="H211" i="2"/>
  <c r="F212" i="3" s="1"/>
  <c r="H215" i="2"/>
  <c r="F216" i="3" s="1"/>
  <c r="H219" i="2"/>
  <c r="F220" i="3" s="1"/>
  <c r="H223" i="2"/>
  <c r="F224" i="3" s="1"/>
  <c r="H227" i="2"/>
  <c r="F228" i="3" s="1"/>
  <c r="H231" i="2"/>
  <c r="F232" i="3" s="1"/>
  <c r="H235" i="2"/>
  <c r="F236" i="3" s="1"/>
  <c r="H239" i="2"/>
  <c r="F240" i="3" s="1"/>
  <c r="H243" i="2"/>
  <c r="F244" i="3" s="1"/>
  <c r="H247" i="2"/>
  <c r="F248" i="3" s="1"/>
  <c r="H251" i="2"/>
  <c r="F252" i="3" s="1"/>
  <c r="H255" i="2"/>
  <c r="F256" i="3" s="1"/>
  <c r="H259" i="2"/>
  <c r="F260" i="3" s="1"/>
  <c r="H263" i="2"/>
  <c r="F264" i="3" s="1"/>
  <c r="H266" i="2"/>
  <c r="F267" i="3" s="1"/>
  <c r="H270" i="2"/>
  <c r="F271" i="3" s="1"/>
  <c r="H274" i="2"/>
  <c r="F275" i="3" s="1"/>
  <c r="H277" i="2"/>
  <c r="F278" i="3" s="1"/>
  <c r="H281" i="2"/>
  <c r="F282" i="3" s="1"/>
  <c r="H285" i="2"/>
  <c r="F286" i="3" s="1"/>
  <c r="H289" i="2"/>
  <c r="F290" i="3" s="1"/>
  <c r="H293" i="2"/>
  <c r="F294" i="3" s="1"/>
  <c r="H297" i="2"/>
  <c r="F298" i="3" s="1"/>
  <c r="H301" i="2"/>
  <c r="F302" i="3" s="1"/>
  <c r="H305" i="2"/>
  <c r="F306" i="3" s="1"/>
  <c r="H309" i="2"/>
  <c r="F310" i="3" s="1"/>
  <c r="H344" i="2"/>
  <c r="F345" i="3" s="1"/>
  <c r="H348" i="2"/>
  <c r="F349" i="3" s="1"/>
  <c r="H352" i="2"/>
  <c r="F353" i="3" s="1"/>
  <c r="H356" i="2"/>
  <c r="F357" i="3" s="1"/>
  <c r="H360" i="2"/>
  <c r="F361" i="3" s="1"/>
  <c r="H368" i="2"/>
  <c r="F369" i="3" s="1"/>
  <c r="H432" i="2"/>
  <c r="F433" i="3" s="1"/>
  <c r="H436" i="2"/>
  <c r="F437" i="3" s="1"/>
  <c r="H440" i="2"/>
  <c r="F441" i="3" s="1"/>
  <c r="H444" i="2"/>
  <c r="F445" i="3" s="1"/>
  <c r="H448" i="2"/>
  <c r="F449" i="3" s="1"/>
  <c r="H452" i="2"/>
  <c r="F453" i="3" s="1"/>
  <c r="H456" i="2"/>
  <c r="F457" i="3" s="1"/>
  <c r="H460" i="2"/>
  <c r="F461" i="3" s="1"/>
  <c r="H464" i="2"/>
  <c r="F465" i="3" s="1"/>
  <c r="H468" i="2"/>
  <c r="F469" i="3" s="1"/>
  <c r="H472" i="2"/>
  <c r="F473" i="3" s="1"/>
  <c r="H476" i="2"/>
  <c r="F477" i="3" s="1"/>
  <c r="H480" i="2"/>
  <c r="F481" i="3" s="1"/>
  <c r="H487" i="2"/>
  <c r="F488" i="3" s="1"/>
  <c r="F492" i="3"/>
  <c r="H217" i="2"/>
  <c r="F218" i="3" s="1"/>
  <c r="H229" i="2"/>
  <c r="F230" i="3" s="1"/>
  <c r="H241" i="2"/>
  <c r="F242" i="3" s="1"/>
  <c r="H264" i="2"/>
  <c r="F265" i="3" s="1"/>
  <c r="H275" i="2"/>
  <c r="F276" i="3" s="1"/>
  <c r="H287" i="2"/>
  <c r="F288" i="3" s="1"/>
  <c r="H295" i="2"/>
  <c r="F296" i="3" s="1"/>
  <c r="H311" i="2"/>
  <c r="F312" i="3" s="1"/>
  <c r="H350" i="2"/>
  <c r="F351" i="3" s="1"/>
  <c r="H362" i="2"/>
  <c r="F363" i="3" s="1"/>
  <c r="H434" i="2"/>
  <c r="F435" i="3" s="1"/>
  <c r="H446" i="2"/>
  <c r="F447" i="3" s="1"/>
  <c r="H450" i="2"/>
  <c r="F451" i="3" s="1"/>
  <c r="H462" i="2"/>
  <c r="F463" i="3" s="1"/>
  <c r="H474" i="2"/>
  <c r="F475" i="3" s="1"/>
  <c r="H313" i="2"/>
  <c r="F314" i="3" s="1"/>
  <c r="H317" i="2"/>
  <c r="F318" i="3" s="1"/>
  <c r="H321" i="2"/>
  <c r="F322" i="3" s="1"/>
  <c r="H325" i="2"/>
  <c r="F326" i="3" s="1"/>
  <c r="H329" i="2"/>
  <c r="F330" i="3" s="1"/>
  <c r="H333" i="2"/>
  <c r="F334" i="3" s="1"/>
  <c r="H337" i="2"/>
  <c r="F338" i="3" s="1"/>
  <c r="H341" i="2"/>
  <c r="F342" i="3" s="1"/>
  <c r="H374" i="2"/>
  <c r="F375" i="3" s="1"/>
  <c r="H378" i="2"/>
  <c r="F379" i="3" s="1"/>
  <c r="H381" i="2"/>
  <c r="F382" i="3" s="1"/>
  <c r="H385" i="2"/>
  <c r="F386" i="3" s="1"/>
  <c r="H389" i="2"/>
  <c r="F390" i="3" s="1"/>
  <c r="H393" i="2"/>
  <c r="F394" i="3" s="1"/>
  <c r="H397" i="2"/>
  <c r="F398" i="3" s="1"/>
  <c r="H401" i="2"/>
  <c r="F402" i="3" s="1"/>
  <c r="H405" i="2"/>
  <c r="F406" i="3" s="1"/>
  <c r="H409" i="2"/>
  <c r="F410" i="3" s="1"/>
  <c r="H413" i="2"/>
  <c r="F414" i="3" s="1"/>
  <c r="H416" i="2"/>
  <c r="F417" i="3" s="1"/>
  <c r="H420" i="2"/>
  <c r="F421" i="3" s="1"/>
  <c r="H486" i="2"/>
  <c r="F487" i="3" s="1"/>
  <c r="H431" i="2"/>
  <c r="F432" i="3" s="1"/>
  <c r="H421" i="2"/>
  <c r="F422" i="3" s="1"/>
  <c r="H254" i="2"/>
  <c r="F255" i="3" s="1"/>
  <c r="H253" i="2"/>
  <c r="F254" i="3" s="1"/>
  <c r="H195" i="2"/>
  <c r="F196" i="3" s="1"/>
  <c r="H88" i="2"/>
  <c r="F89" i="3" s="1"/>
  <c r="H108" i="2"/>
  <c r="F109" i="3" s="1"/>
  <c r="L15" i="1"/>
  <c r="H98" i="2"/>
  <c r="F99" i="3" s="1"/>
  <c r="H95" i="2"/>
  <c r="F96" i="3" s="1"/>
  <c r="H145" i="2"/>
  <c r="F146" i="3" s="1"/>
  <c r="H126" i="2"/>
  <c r="F127" i="3" s="1"/>
  <c r="H111" i="2"/>
  <c r="F112" i="3" s="1"/>
  <c r="H168" i="2"/>
  <c r="F169" i="3" s="1"/>
  <c r="H50" i="2"/>
  <c r="F51" i="3" s="1"/>
  <c r="H109" i="2"/>
  <c r="F110" i="3" s="1"/>
  <c r="H135" i="2"/>
  <c r="F136" i="3" s="1"/>
  <c r="H83" i="2"/>
  <c r="F84" i="3" s="1"/>
  <c r="H93" i="2"/>
  <c r="F94" i="3" s="1"/>
  <c r="H96" i="2"/>
  <c r="F97" i="3" s="1"/>
  <c r="H143" i="2"/>
  <c r="F144" i="3" s="1"/>
  <c r="H52" i="2"/>
  <c r="F53" i="3" s="1"/>
  <c r="H43" i="2"/>
  <c r="F44" i="3" s="1"/>
  <c r="H114" i="2"/>
  <c r="F115" i="3" s="1"/>
  <c r="H6" i="2"/>
  <c r="F7" i="3" s="1"/>
  <c r="H40" i="2"/>
  <c r="F41" i="3" s="1"/>
  <c r="H64" i="2"/>
  <c r="F65" i="3" s="1"/>
  <c r="H140" i="2"/>
  <c r="F141" i="3" s="1"/>
  <c r="H21" i="2"/>
  <c r="F22" i="3" s="1"/>
  <c r="H24" i="2"/>
  <c r="F25" i="3" s="1"/>
  <c r="H68" i="2"/>
  <c r="F69" i="3" s="1"/>
  <c r="H113" i="2"/>
  <c r="F114" i="3" s="1"/>
  <c r="H160" i="2"/>
  <c r="F161" i="3" s="1"/>
  <c r="H167" i="2"/>
  <c r="F168" i="3" s="1"/>
  <c r="H8" i="2"/>
  <c r="F9" i="3" s="1"/>
  <c r="H63" i="2"/>
  <c r="F64" i="3" s="1"/>
  <c r="H77" i="2"/>
  <c r="F78" i="3" s="1"/>
  <c r="H80" i="2"/>
  <c r="F81" i="3" s="1"/>
  <c r="H151" i="2"/>
  <c r="F152" i="3" s="1"/>
  <c r="H23" i="2"/>
  <c r="F24" i="3" s="1"/>
  <c r="H26" i="2"/>
  <c r="F27" i="3" s="1"/>
  <c r="H33" i="2"/>
  <c r="F34" i="3" s="1"/>
  <c r="H36" i="2"/>
  <c r="F37" i="3" s="1"/>
  <c r="H129" i="2"/>
  <c r="F130" i="3" s="1"/>
  <c r="H155" i="2"/>
  <c r="F156" i="3" s="1"/>
  <c r="H176" i="2"/>
  <c r="F177" i="3" s="1"/>
  <c r="H81" i="2"/>
  <c r="F82" i="3" s="1"/>
  <c r="H72" i="2"/>
  <c r="F73" i="3" s="1"/>
  <c r="H79" i="2"/>
  <c r="F80" i="3" s="1"/>
  <c r="H124" i="2"/>
  <c r="F125" i="3" s="1"/>
  <c r="H164" i="2"/>
  <c r="F165" i="3" s="1"/>
  <c r="H191" i="2"/>
  <c r="F192" i="3" s="1"/>
  <c r="H38" i="2"/>
  <c r="F39" i="3" s="1"/>
  <c r="H55" i="2"/>
  <c r="F56" i="3" s="1"/>
  <c r="H121" i="2"/>
  <c r="F122" i="3" s="1"/>
  <c r="H131" i="2"/>
  <c r="F132" i="3" s="1"/>
  <c r="H138" i="2"/>
  <c r="F139" i="3" s="1"/>
  <c r="H148" i="2"/>
  <c r="F149" i="3" s="1"/>
  <c r="H171" i="2"/>
  <c r="F172" i="3" s="1"/>
  <c r="H9" i="2"/>
  <c r="F10" i="3" s="1"/>
  <c r="H47" i="2"/>
  <c r="F48" i="3" s="1"/>
  <c r="H31" i="2"/>
  <c r="F32" i="3" s="1"/>
  <c r="H34" i="2"/>
  <c r="F35" i="3" s="1"/>
  <c r="H177" i="2"/>
  <c r="F178" i="3" s="1"/>
  <c r="H48" i="2"/>
  <c r="F49" i="3" s="1"/>
  <c r="H65" i="2"/>
  <c r="F66" i="3" s="1"/>
  <c r="H119" i="2"/>
  <c r="F120" i="3" s="1"/>
  <c r="H136" i="2"/>
  <c r="F137" i="3" s="1"/>
  <c r="H152" i="2"/>
  <c r="F153" i="3" s="1"/>
  <c r="H169" i="2"/>
  <c r="F170" i="3" s="1"/>
  <c r="H175" i="2"/>
  <c r="F176" i="3" s="1"/>
  <c r="H37" i="2"/>
  <c r="F38" i="3" s="1"/>
  <c r="H54" i="2"/>
  <c r="F55" i="3" s="1"/>
  <c r="H71" i="2"/>
  <c r="F72" i="3" s="1"/>
  <c r="H87" i="2"/>
  <c r="F88" i="3" s="1"/>
  <c r="H142" i="2"/>
  <c r="F143" i="3" s="1"/>
  <c r="H158" i="2"/>
  <c r="F159" i="3" s="1"/>
  <c r="H82" i="2"/>
  <c r="F83" i="3" s="1"/>
  <c r="H20" i="2"/>
  <c r="F21" i="3" s="1"/>
  <c r="H86" i="2"/>
  <c r="F87" i="3" s="1"/>
  <c r="H180" i="2"/>
  <c r="F181" i="3" s="1"/>
  <c r="H76" i="2"/>
  <c r="F77" i="3" s="1"/>
  <c r="H32" i="2"/>
  <c r="F33" i="3" s="1"/>
  <c r="H49" i="2"/>
  <c r="F50" i="3" s="1"/>
  <c r="H66" i="2"/>
  <c r="F67" i="3" s="1"/>
  <c r="H106" i="2"/>
  <c r="F107" i="3" s="1"/>
  <c r="H120" i="2"/>
  <c r="F121" i="3" s="1"/>
  <c r="H137" i="2"/>
  <c r="F138" i="3" s="1"/>
  <c r="H153" i="2"/>
  <c r="F154" i="3" s="1"/>
  <c r="H159" i="2"/>
  <c r="F160" i="3" s="1"/>
  <c r="H11" i="2"/>
  <c r="F12" i="3" s="1"/>
  <c r="H27" i="2"/>
  <c r="F28" i="3" s="1"/>
  <c r="H44" i="2"/>
  <c r="F45" i="3" s="1"/>
  <c r="H67" i="2"/>
  <c r="F68" i="3" s="1"/>
  <c r="H115" i="2"/>
  <c r="F116" i="3" s="1"/>
  <c r="H132" i="2"/>
  <c r="F133" i="3" s="1"/>
  <c r="H149" i="2"/>
  <c r="F150" i="3" s="1"/>
  <c r="H197" i="2"/>
  <c r="F198" i="3" s="1"/>
  <c r="H144" i="2"/>
  <c r="F145" i="3" s="1"/>
  <c r="H22" i="2"/>
  <c r="F23" i="3" s="1"/>
  <c r="H39" i="2"/>
  <c r="F40" i="3" s="1"/>
  <c r="H56" i="2"/>
  <c r="F57" i="3" s="1"/>
  <c r="H110" i="2"/>
  <c r="F111" i="3" s="1"/>
  <c r="H127" i="2"/>
  <c r="F128" i="3" s="1"/>
  <c r="H166" i="2"/>
  <c r="F167" i="3" s="1"/>
  <c r="H14" i="2"/>
  <c r="F15" i="3" s="1"/>
  <c r="H70" i="2"/>
  <c r="F71" i="3" s="1"/>
  <c r="H104" i="2"/>
  <c r="F105" i="3" s="1"/>
  <c r="H157" i="2"/>
  <c r="F158" i="3" s="1"/>
  <c r="H97" i="2"/>
  <c r="F98" i="3" s="1"/>
  <c r="H147" i="2"/>
  <c r="F148" i="3" s="1"/>
  <c r="H12" i="2"/>
  <c r="F13" i="3" s="1"/>
  <c r="H28" i="2"/>
  <c r="F29" i="3" s="1"/>
  <c r="H45" i="2"/>
  <c r="F46" i="3" s="1"/>
  <c r="H51" i="2"/>
  <c r="F52" i="3" s="1"/>
  <c r="H84" i="2"/>
  <c r="F85" i="3" s="1"/>
  <c r="H102" i="2"/>
  <c r="F103" i="3" s="1"/>
  <c r="H116" i="2"/>
  <c r="F117" i="3" s="1"/>
  <c r="H133" i="2"/>
  <c r="F134" i="3" s="1"/>
  <c r="H7" i="2"/>
  <c r="F8" i="3" s="1"/>
  <c r="H74" i="2"/>
  <c r="F75" i="3" s="1"/>
  <c r="H122" i="2"/>
  <c r="F123" i="3" s="1"/>
  <c r="H128" i="2"/>
  <c r="F129" i="3" s="1"/>
  <c r="H161" i="2"/>
  <c r="F162" i="3" s="1"/>
  <c r="H178" i="2"/>
  <c r="F179" i="3" s="1"/>
  <c r="H13" i="2"/>
  <c r="F14" i="3" s="1"/>
  <c r="H29" i="2"/>
  <c r="F30" i="3" s="1"/>
  <c r="H35" i="2"/>
  <c r="F36" i="3" s="1"/>
  <c r="H69" i="2"/>
  <c r="F70" i="3" s="1"/>
  <c r="H85" i="2"/>
  <c r="F86" i="3" s="1"/>
  <c r="H103" i="2"/>
  <c r="F104" i="3" s="1"/>
  <c r="H117" i="2"/>
  <c r="F118" i="3" s="1"/>
  <c r="H173" i="2"/>
  <c r="F174" i="3" s="1"/>
  <c r="H53" i="2"/>
  <c r="F54" i="3" s="1"/>
  <c r="H4" i="2"/>
  <c r="F5" i="3" s="1"/>
  <c r="H42" i="2"/>
  <c r="F43" i="3" s="1"/>
  <c r="H91" i="2"/>
  <c r="F92" i="3" s="1"/>
  <c r="H130" i="2"/>
  <c r="F131" i="3" s="1"/>
  <c r="H163" i="2"/>
  <c r="F164" i="3" s="1"/>
  <c r="H3" i="2"/>
  <c r="F4" i="3" s="1"/>
  <c r="H19" i="2"/>
  <c r="F20" i="3" s="1"/>
  <c r="H75" i="2"/>
  <c r="F76" i="3" s="1"/>
  <c r="H90" i="2"/>
  <c r="F91" i="3" s="1"/>
  <c r="H112" i="2"/>
  <c r="F113" i="3" s="1"/>
  <c r="H146" i="2"/>
  <c r="F147" i="3" s="1"/>
  <c r="H162" i="2"/>
  <c r="F163" i="3" s="1"/>
  <c r="H179" i="2"/>
  <c r="F180" i="3" s="1"/>
  <c r="H15" i="2"/>
  <c r="F16" i="3" s="1"/>
  <c r="H30" i="2"/>
  <c r="F31" i="3" s="1"/>
  <c r="H46" i="2"/>
  <c r="F47" i="3" s="1"/>
  <c r="H78" i="2"/>
  <c r="F79" i="3" s="1"/>
  <c r="U94" i="3"/>
  <c r="U93" i="3"/>
  <c r="U92" i="3"/>
  <c r="U91" i="3"/>
  <c r="U90" i="3"/>
  <c r="U89" i="3"/>
  <c r="U88" i="3"/>
  <c r="U87" i="3"/>
  <c r="U86" i="3"/>
  <c r="U85" i="3"/>
  <c r="U84" i="3"/>
  <c r="U83" i="3"/>
  <c r="U82" i="3"/>
  <c r="U81" i="3"/>
  <c r="U80" i="3"/>
  <c r="U79" i="3"/>
  <c r="U78" i="3"/>
  <c r="U77" i="3"/>
  <c r="U76" i="3"/>
  <c r="U75" i="3"/>
  <c r="U74" i="3"/>
  <c r="U73" i="3"/>
  <c r="U72" i="3"/>
  <c r="U71" i="3"/>
  <c r="U70" i="3"/>
  <c r="U69" i="3"/>
  <c r="U68" i="3"/>
  <c r="U67" i="3"/>
  <c r="U66" i="3"/>
  <c r="U65" i="3"/>
  <c r="U64" i="3"/>
  <c r="U63" i="3"/>
  <c r="U62" i="3"/>
  <c r="U61" i="3"/>
  <c r="U60" i="3"/>
  <c r="U59" i="3"/>
  <c r="U58" i="3"/>
  <c r="U57" i="3"/>
  <c r="U56" i="3"/>
  <c r="U55" i="3"/>
  <c r="U54" i="3"/>
  <c r="U53" i="3"/>
  <c r="U52" i="3"/>
  <c r="U51" i="3"/>
  <c r="U50" i="3"/>
  <c r="U49" i="3"/>
  <c r="U48" i="3"/>
  <c r="U47" i="3"/>
  <c r="U46" i="3"/>
  <c r="U45" i="3"/>
  <c r="U44" i="3"/>
  <c r="U43" i="3"/>
  <c r="U42" i="3"/>
  <c r="U41" i="3"/>
  <c r="U40" i="3"/>
  <c r="U39" i="3"/>
  <c r="U38" i="3"/>
  <c r="U37" i="3"/>
  <c r="U36" i="3"/>
  <c r="U35" i="3"/>
  <c r="U34" i="3"/>
  <c r="U33" i="3"/>
  <c r="U32" i="3"/>
  <c r="U31" i="3"/>
  <c r="U30" i="3"/>
  <c r="U29" i="3"/>
  <c r="U28" i="3"/>
  <c r="U27" i="3"/>
  <c r="U26" i="3"/>
  <c r="U25" i="3"/>
  <c r="U24" i="3"/>
  <c r="U23" i="3"/>
  <c r="U22" i="3"/>
  <c r="U21" i="3"/>
  <c r="U20" i="3"/>
  <c r="U19" i="3"/>
  <c r="U18" i="3"/>
  <c r="U17" i="3"/>
  <c r="U16" i="3"/>
  <c r="U15" i="3"/>
  <c r="U14" i="3"/>
  <c r="U13" i="3"/>
  <c r="U12" i="3"/>
  <c r="U11" i="3"/>
  <c r="T94" i="3"/>
  <c r="T93" i="3"/>
  <c r="T92" i="3"/>
  <c r="T91" i="3"/>
  <c r="T90" i="3"/>
  <c r="T89" i="3"/>
  <c r="T88" i="3"/>
  <c r="T87" i="3"/>
  <c r="T86" i="3"/>
  <c r="T85" i="3"/>
  <c r="T84" i="3"/>
  <c r="T83" i="3"/>
  <c r="T82" i="3"/>
  <c r="T81" i="3"/>
  <c r="T80" i="3"/>
  <c r="T79" i="3"/>
  <c r="T78" i="3"/>
  <c r="T77" i="3"/>
  <c r="T76" i="3"/>
  <c r="T75" i="3"/>
  <c r="T74" i="3"/>
  <c r="T73" i="3"/>
  <c r="T72" i="3"/>
  <c r="T71" i="3"/>
  <c r="T70" i="3"/>
  <c r="T69" i="3"/>
  <c r="T68" i="3"/>
  <c r="T67" i="3"/>
  <c r="T66" i="3"/>
  <c r="T65" i="3"/>
  <c r="T64" i="3"/>
  <c r="T63" i="3"/>
  <c r="T62" i="3"/>
  <c r="T61" i="3"/>
  <c r="T60" i="3"/>
  <c r="T59" i="3"/>
  <c r="T58" i="3"/>
  <c r="T57" i="3"/>
  <c r="T56" i="3"/>
  <c r="T55" i="3"/>
  <c r="T54" i="3"/>
  <c r="T53" i="3"/>
  <c r="T52" i="3"/>
  <c r="T51" i="3"/>
  <c r="T50" i="3"/>
  <c r="T49" i="3"/>
  <c r="T48" i="3"/>
  <c r="T47" i="3"/>
  <c r="T46" i="3"/>
  <c r="T45" i="3"/>
  <c r="T44" i="3"/>
  <c r="T43" i="3"/>
  <c r="T42" i="3"/>
  <c r="T41" i="3"/>
  <c r="T40" i="3"/>
  <c r="T39" i="3"/>
  <c r="T38" i="3"/>
  <c r="T37" i="3"/>
  <c r="T36" i="3"/>
  <c r="T35" i="3"/>
  <c r="T34" i="3"/>
  <c r="T33" i="3"/>
  <c r="T32" i="3"/>
  <c r="T31" i="3"/>
  <c r="T30" i="3"/>
  <c r="T29" i="3"/>
  <c r="T28" i="3"/>
  <c r="T27" i="3"/>
  <c r="T26" i="3"/>
  <c r="T25" i="3"/>
  <c r="T24" i="3"/>
  <c r="T23" i="3"/>
  <c r="T22" i="3"/>
  <c r="T21" i="3"/>
  <c r="T20" i="3"/>
  <c r="T19" i="3"/>
  <c r="T18" i="3"/>
  <c r="T17" i="3"/>
  <c r="T16" i="3"/>
  <c r="T15" i="3"/>
  <c r="T14" i="3"/>
  <c r="T13" i="3"/>
  <c r="T12" i="3"/>
  <c r="T11" i="3"/>
  <c r="S94" i="3"/>
  <c r="S93" i="3"/>
  <c r="S92" i="3"/>
  <c r="S91" i="3"/>
  <c r="S90" i="3"/>
  <c r="S89" i="3"/>
  <c r="S88" i="3"/>
  <c r="S87" i="3"/>
  <c r="S86" i="3"/>
  <c r="S85" i="3"/>
  <c r="S84" i="3"/>
  <c r="S83" i="3"/>
  <c r="S82" i="3"/>
  <c r="S81" i="3"/>
  <c r="S80" i="3"/>
  <c r="S79" i="3"/>
  <c r="S78" i="3"/>
  <c r="S77" i="3"/>
  <c r="S76" i="3"/>
  <c r="S75" i="3"/>
  <c r="S74" i="3"/>
  <c r="S73" i="3"/>
  <c r="S72" i="3"/>
  <c r="S71" i="3"/>
  <c r="S70" i="3"/>
  <c r="S69" i="3"/>
  <c r="S68" i="3"/>
  <c r="S67" i="3"/>
  <c r="S66" i="3"/>
  <c r="S65" i="3"/>
  <c r="S64" i="3"/>
  <c r="S63" i="3"/>
  <c r="S62" i="3"/>
  <c r="S61" i="3"/>
  <c r="S60" i="3"/>
  <c r="S59" i="3"/>
  <c r="S58" i="3"/>
  <c r="S57" i="3"/>
  <c r="S56" i="3"/>
  <c r="S55" i="3"/>
  <c r="S54" i="3"/>
  <c r="S53" i="3"/>
  <c r="S52" i="3"/>
  <c r="S51" i="3"/>
  <c r="S50" i="3"/>
  <c r="S49" i="3"/>
  <c r="S48" i="3"/>
  <c r="S47" i="3"/>
  <c r="S46" i="3"/>
  <c r="S45" i="3"/>
  <c r="S44" i="3"/>
  <c r="S43" i="3"/>
  <c r="S42" i="3"/>
  <c r="S41" i="3"/>
  <c r="S40" i="3"/>
  <c r="S39" i="3"/>
  <c r="S38" i="3"/>
  <c r="S37" i="3"/>
  <c r="S36" i="3"/>
  <c r="S35" i="3"/>
  <c r="S34" i="3"/>
  <c r="S33" i="3"/>
  <c r="S32" i="3"/>
  <c r="S31" i="3"/>
  <c r="S30" i="3"/>
  <c r="S29" i="3"/>
  <c r="S28" i="3"/>
  <c r="S27" i="3"/>
  <c r="S26" i="3"/>
  <c r="S25" i="3"/>
  <c r="S24" i="3"/>
  <c r="S23" i="3"/>
  <c r="S22" i="3"/>
  <c r="S21" i="3"/>
  <c r="S20" i="3"/>
  <c r="S19" i="3"/>
  <c r="S18" i="3"/>
  <c r="S17" i="3"/>
  <c r="S16" i="3"/>
  <c r="S15" i="3"/>
  <c r="S14" i="3"/>
  <c r="S13" i="3"/>
  <c r="S12" i="3"/>
  <c r="S11" i="3"/>
  <c r="R94" i="3"/>
  <c r="R93" i="3"/>
  <c r="R92" i="3"/>
  <c r="R91" i="3"/>
  <c r="R90" i="3"/>
  <c r="R89" i="3"/>
  <c r="R88" i="3"/>
  <c r="R87" i="3"/>
  <c r="R86" i="3"/>
  <c r="R85" i="3"/>
  <c r="R84" i="3"/>
  <c r="R83" i="3"/>
  <c r="R82" i="3"/>
  <c r="R81" i="3"/>
  <c r="R80" i="3"/>
  <c r="R79" i="3"/>
  <c r="R78" i="3"/>
  <c r="R77" i="3"/>
  <c r="R76" i="3"/>
  <c r="R75" i="3"/>
  <c r="R74" i="3"/>
  <c r="R73" i="3"/>
  <c r="R72" i="3"/>
  <c r="R71" i="3"/>
  <c r="R70" i="3"/>
  <c r="R69" i="3"/>
  <c r="R68" i="3"/>
  <c r="R67" i="3"/>
  <c r="R66" i="3"/>
  <c r="R65" i="3"/>
  <c r="R64" i="3"/>
  <c r="R63" i="3"/>
  <c r="R62" i="3"/>
  <c r="R61" i="3"/>
  <c r="R60" i="3"/>
  <c r="R59" i="3"/>
  <c r="R58" i="3"/>
  <c r="R57" i="3"/>
  <c r="R56" i="3"/>
  <c r="R55" i="3"/>
  <c r="R54" i="3"/>
  <c r="R53" i="3"/>
  <c r="R52" i="3"/>
  <c r="R51" i="3"/>
  <c r="R50" i="3"/>
  <c r="R49" i="3"/>
  <c r="R48" i="3"/>
  <c r="R47" i="3"/>
  <c r="R46" i="3"/>
  <c r="R45" i="3"/>
  <c r="R44" i="3"/>
  <c r="R43" i="3"/>
  <c r="R42" i="3"/>
  <c r="R41" i="3"/>
  <c r="R40" i="3"/>
  <c r="R39" i="3"/>
  <c r="R38" i="3"/>
  <c r="R37" i="3"/>
  <c r="R36" i="3"/>
  <c r="R35" i="3"/>
  <c r="R34" i="3"/>
  <c r="R33" i="3"/>
  <c r="R32" i="3"/>
  <c r="R31" i="3"/>
  <c r="R30" i="3"/>
  <c r="R29" i="3"/>
  <c r="R28" i="3"/>
  <c r="R27" i="3"/>
  <c r="R26" i="3"/>
  <c r="R25" i="3"/>
  <c r="R24" i="3"/>
  <c r="R23" i="3"/>
  <c r="R22" i="3"/>
  <c r="R21" i="3"/>
  <c r="R20" i="3"/>
  <c r="R19" i="3"/>
  <c r="R18" i="3"/>
  <c r="R17" i="3"/>
  <c r="R16" i="3"/>
  <c r="R15" i="3"/>
  <c r="R14" i="3"/>
  <c r="R13" i="3"/>
  <c r="R12" i="3"/>
  <c r="R11" i="3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<sst xmlns="http://schemas.openxmlformats.org/spreadsheetml/2006/main" count="1241" uniqueCount="601">
  <si>
    <t>@dropdown</t>
  </si>
  <si>
    <t>NO</t>
  </si>
  <si>
    <t>ID PELANGGAN</t>
  </si>
  <si>
    <t>NAMA PELANGGAN</t>
  </si>
  <si>
    <t>ALAMAT</t>
  </si>
  <si>
    <t>KODE PAKET</t>
  </si>
  <si>
    <t>PAKET</t>
  </si>
  <si>
    <t>HARGA</t>
  </si>
  <si>
    <t>BAIHAKI</t>
  </si>
  <si>
    <t>BLIMBINGSARI</t>
  </si>
  <si>
    <t>BEDENG@BANANA</t>
  </si>
  <si>
    <t>DITA@NOK</t>
  </si>
  <si>
    <t>FIKRISEI</t>
  </si>
  <si>
    <t>MISTARA@YONO</t>
  </si>
  <si>
    <t>NAFIZ@MI</t>
  </si>
  <si>
    <t>PETRUK</t>
  </si>
  <si>
    <t>SABU</t>
  </si>
  <si>
    <t>SAROH@ANDIK</t>
  </si>
  <si>
    <t>SUNARYU</t>
  </si>
  <si>
    <t>lia muji</t>
  </si>
  <si>
    <t>YUSUF</t>
  </si>
  <si>
    <t>elisha</t>
  </si>
  <si>
    <t>SANTI</t>
  </si>
  <si>
    <t>ROMI</t>
  </si>
  <si>
    <t>MI@SUNANGIRI</t>
  </si>
  <si>
    <t>MES@BANANA</t>
  </si>
  <si>
    <t>MES@BMT</t>
  </si>
  <si>
    <t>AKBARR</t>
  </si>
  <si>
    <t>IDINAN</t>
  </si>
  <si>
    <t>AKSORO</t>
  </si>
  <si>
    <t>ALFI@SUN ( TERUSAN ) blimbing</t>
  </si>
  <si>
    <t>ASIS</t>
  </si>
  <si>
    <t>AYULESTARI</t>
  </si>
  <si>
    <t>ELOK</t>
  </si>
  <si>
    <t>FATUR</t>
  </si>
  <si>
    <t>FIRMAN@SUPENOK</t>
  </si>
  <si>
    <t>HENDI@ULWIYA</t>
  </si>
  <si>
    <t>HOLIK</t>
  </si>
  <si>
    <t>OMAN</t>
  </si>
  <si>
    <t>ILHAM@OMAN</t>
  </si>
  <si>
    <t>JUNET@JUN</t>
  </si>
  <si>
    <t>MATTAIN</t>
  </si>
  <si>
    <t>LIAUDIK</t>
  </si>
  <si>
    <t>LUTFI</t>
  </si>
  <si>
    <t>MARIMIN</t>
  </si>
  <si>
    <t>OPIK</t>
  </si>
  <si>
    <t>P.ARI</t>
  </si>
  <si>
    <t>P.LULUK@IDINAN</t>
  </si>
  <si>
    <t>P.MIKO</t>
  </si>
  <si>
    <t>P.RIBUT</t>
  </si>
  <si>
    <t>SAGIMAN</t>
  </si>
  <si>
    <t>SAIPUL@PAKLUS</t>
  </si>
  <si>
    <t>SOLFI@FERI</t>
  </si>
  <si>
    <t>SAHNAN</t>
  </si>
  <si>
    <t>SURAJI</t>
  </si>
  <si>
    <t>SUS@BENGKEL</t>
  </si>
  <si>
    <t>SUS@FITRI</t>
  </si>
  <si>
    <t>SUTIK@IKROM</t>
  </si>
  <si>
    <t>SUTRIS@TIA</t>
  </si>
  <si>
    <t>TRIAS</t>
  </si>
  <si>
    <t>NUMA</t>
  </si>
  <si>
    <t>NADIA</t>
  </si>
  <si>
    <t>UUS/ daus</t>
  </si>
  <si>
    <t>Rini</t>
  </si>
  <si>
    <t>ILHAM</t>
  </si>
  <si>
    <t>ZEA</t>
  </si>
  <si>
    <t>SRI meca</t>
  </si>
  <si>
    <t>FAISOL</t>
  </si>
  <si>
    <t>JUNAIDI</t>
  </si>
  <si>
    <t>KOM</t>
  </si>
  <si>
    <t>ARIP@AYUK</t>
  </si>
  <si>
    <t>DAYAT@BENGKEL</t>
  </si>
  <si>
    <t>ANGGA@ANIS</t>
  </si>
  <si>
    <t>ANJAS</t>
  </si>
  <si>
    <t>TANAH LOS</t>
  </si>
  <si>
    <t>ALIP@BINTANG</t>
  </si>
  <si>
    <t>ANA@HAR</t>
  </si>
  <si>
    <t>BINDERE@IMAM</t>
  </si>
  <si>
    <t>DAPIT JOKO / dampit</t>
  </si>
  <si>
    <t>DIKI@HELMI</t>
  </si>
  <si>
    <t>EROL@DEWI</t>
  </si>
  <si>
    <t>HARIYANTO@LIRA</t>
  </si>
  <si>
    <t>HODIE</t>
  </si>
  <si>
    <t>IKAUNTUNG</t>
  </si>
  <si>
    <t>LAILI</t>
  </si>
  <si>
    <t>LIATN</t>
  </si>
  <si>
    <t>MAHIL@TIK</t>
  </si>
  <si>
    <t>MUJI/HAEKAL</t>
  </si>
  <si>
    <t>MUL</t>
  </si>
  <si>
    <t>P.SUL@DANDI</t>
  </si>
  <si>
    <t>REVAN@VILA</t>
  </si>
  <si>
    <t>RINA@RAMA / sahlan</t>
  </si>
  <si>
    <t>rima</t>
  </si>
  <si>
    <t>ROSI@SUBAIRI</t>
  </si>
  <si>
    <t>SASKIA@RIAN</t>
  </si>
  <si>
    <t>SIDOK@VILA</t>
  </si>
  <si>
    <t>SLAMETTN</t>
  </si>
  <si>
    <t>SUGIMAN@VILA</t>
  </si>
  <si>
    <t>SUS@VILA</t>
  </si>
  <si>
    <t>VINA@ASTUTI</t>
  </si>
  <si>
    <t>YATNO@IKRIMA</t>
  </si>
  <si>
    <t>alishanazwa</t>
  </si>
  <si>
    <t>bagus</t>
  </si>
  <si>
    <t>marcel</t>
  </si>
  <si>
    <t>sumantoro</t>
  </si>
  <si>
    <t>varel</t>
  </si>
  <si>
    <t>Nanang@Caca</t>
  </si>
  <si>
    <t>wiwin</t>
  </si>
  <si>
    <t>ayuk</t>
  </si>
  <si>
    <t>SITISP</t>
  </si>
  <si>
    <t>SUKIS@ILHAM</t>
  </si>
  <si>
    <t>SUPANYA@NO</t>
  </si>
  <si>
    <t>DWI@TIRTA</t>
  </si>
  <si>
    <t>AAN@EZA</t>
  </si>
  <si>
    <t>JAMBU</t>
  </si>
  <si>
    <t>AAS@JAMAN</t>
  </si>
  <si>
    <t>AINUL@MUJI</t>
  </si>
  <si>
    <t>ALVIN</t>
  </si>
  <si>
    <t>AMAH@P.PUPUT / rohman</t>
  </si>
  <si>
    <t>ASRIL@SULIS</t>
  </si>
  <si>
    <t>AYUB</t>
  </si>
  <si>
    <t>DIANA</t>
  </si>
  <si>
    <t>DOWIK</t>
  </si>
  <si>
    <t>GUDANG DOWIK</t>
  </si>
  <si>
    <t>ERPAN</t>
  </si>
  <si>
    <t>riski bengkel</t>
  </si>
  <si>
    <t>FATIMAH</t>
  </si>
  <si>
    <t>HENDI / febby</t>
  </si>
  <si>
    <t>HERNO@ILHAM</t>
  </si>
  <si>
    <t>HOLILI@DESO</t>
  </si>
  <si>
    <t>JONO@EVA</t>
  </si>
  <si>
    <t>KADEK/kom</t>
  </si>
  <si>
    <t>LIN@HADI</t>
  </si>
  <si>
    <t>LINDA@AGUNG</t>
  </si>
  <si>
    <t>MATSAINI@ENDANG</t>
  </si>
  <si>
    <t>NANO</t>
  </si>
  <si>
    <t>NUR@BENGKEL</t>
  </si>
  <si>
    <t>NURIK@ROHMA</t>
  </si>
  <si>
    <t>P.BUANG@ARIP</t>
  </si>
  <si>
    <t>PENDI</t>
  </si>
  <si>
    <t>PUTRIUNTUNG</t>
  </si>
  <si>
    <t>RAHOLIL romik</t>
  </si>
  <si>
    <t>RIRIN</t>
  </si>
  <si>
    <t>SERATEM / chandra</t>
  </si>
  <si>
    <t>SLAMETIPIN</t>
  </si>
  <si>
    <t>SUNAR@RATNA</t>
  </si>
  <si>
    <t>TINO@TITIN</t>
  </si>
  <si>
    <t>TORIK / rita</t>
  </si>
  <si>
    <t>TYAS</t>
  </si>
  <si>
    <t>WAHYU@RADIT</t>
  </si>
  <si>
    <t>YANTO@SINTIYA / nova</t>
  </si>
  <si>
    <t>YAYUK@ELSA</t>
  </si>
  <si>
    <t>YUNI@OPIK</t>
  </si>
  <si>
    <t>YURIS@ALVIN</t>
  </si>
  <si>
    <t>roh/ manrosul</t>
  </si>
  <si>
    <t>DARTOK</t>
  </si>
  <si>
    <t>YENI ( enal)</t>
  </si>
  <si>
    <t>YANTO</t>
  </si>
  <si>
    <t>GIYANTO</t>
  </si>
  <si>
    <t>ANDI</t>
  </si>
  <si>
    <t>EDY</t>
  </si>
  <si>
    <t>INDAH</t>
  </si>
  <si>
    <t>SELAMET / p. mita</t>
  </si>
  <si>
    <t>hari</t>
  </si>
  <si>
    <t>VIRGA</t>
  </si>
  <si>
    <t>DIMAS</t>
  </si>
  <si>
    <t>lia</t>
  </si>
  <si>
    <t>dina</t>
  </si>
  <si>
    <t>JAMBU (TOKO) idinan</t>
  </si>
  <si>
    <t>posko lidjen</t>
  </si>
  <si>
    <t>jambu</t>
  </si>
  <si>
    <t>nanang</t>
  </si>
  <si>
    <t>yanti juno</t>
  </si>
  <si>
    <t>ADI@SUS</t>
  </si>
  <si>
    <t>KALONGAN</t>
  </si>
  <si>
    <t>ADIS@ARIP</t>
  </si>
  <si>
    <t>AGUS@KIKI</t>
  </si>
  <si>
    <t>BASIR@OHANG</t>
  </si>
  <si>
    <t>DILAH@UMI</t>
  </si>
  <si>
    <t>DORIK@AYUN</t>
  </si>
  <si>
    <t>KANA@KALONGAN</t>
  </si>
  <si>
    <t>LATIF@YESA</t>
  </si>
  <si>
    <t>RISKI@ELEK</t>
  </si>
  <si>
    <t>SAN@RITA</t>
  </si>
  <si>
    <t>SIS@TROPER</t>
  </si>
  <si>
    <t>IQBAL@ZUL</t>
  </si>
  <si>
    <t>AMPELGADING</t>
  </si>
  <si>
    <t>P.YATMAN</t>
  </si>
  <si>
    <t>tolak</t>
  </si>
  <si>
    <t>AMPELGADING/ IDINAN</t>
  </si>
  <si>
    <t>ERNA</t>
  </si>
  <si>
    <t>HADIPERHUT</t>
  </si>
  <si>
    <t>SUMBERWATU</t>
  </si>
  <si>
    <t>ijen garden</t>
  </si>
  <si>
    <t>MASMUL</t>
  </si>
  <si>
    <t>UUT@DAVA</t>
  </si>
  <si>
    <t>KORAMIL</t>
  </si>
  <si>
    <t>IPULLRT</t>
  </si>
  <si>
    <t>JAMBU@MERAH ( bik watik )</t>
  </si>
  <si>
    <t>villa lidjen</t>
  </si>
  <si>
    <t>WARUNG@OSENG / bumdes</t>
  </si>
  <si>
    <t>LURAH</t>
  </si>
  <si>
    <t>FATHAN</t>
  </si>
  <si>
    <t>BUDI@TJ</t>
  </si>
  <si>
    <t>DEOMAH@OSENG</t>
  </si>
  <si>
    <t>AROMATIKA</t>
  </si>
  <si>
    <t>P.YANI</t>
  </si>
  <si>
    <t>PELANGI</t>
  </si>
  <si>
    <t>SDN4</t>
  </si>
  <si>
    <t>SUNOTOK</t>
  </si>
  <si>
    <t>TOLAK HOMESTAY</t>
  </si>
  <si>
    <t>UYUNG@BUGURU</t>
  </si>
  <si>
    <t>SUYONO/ susiyono</t>
  </si>
  <si>
    <t>OOT@JIDAN</t>
  </si>
  <si>
    <t>FANI@LEO</t>
  </si>
  <si>
    <t>MAKMUM@KASUN</t>
  </si>
  <si>
    <t>HENI@TEKNISI</t>
  </si>
  <si>
    <t>ALAMIEN (FREE)</t>
  </si>
  <si>
    <t>ADIT</t>
  </si>
  <si>
    <t>ANDIKO</t>
  </si>
  <si>
    <t>B.IPUL</t>
  </si>
  <si>
    <t>BINTANG</t>
  </si>
  <si>
    <t>DIDIK@KEBUN</t>
  </si>
  <si>
    <t>DYAN@SARI</t>
  </si>
  <si>
    <t>FADIL</t>
  </si>
  <si>
    <t>FAUJI</t>
  </si>
  <si>
    <t>GIK@KAMBING</t>
  </si>
  <si>
    <t>HERI@SOUND</t>
  </si>
  <si>
    <t>HUDA</t>
  </si>
  <si>
    <t>edi sutris</t>
  </si>
  <si>
    <t>AMPELGADING / IDINAN</t>
  </si>
  <si>
    <t>IKAA</t>
  </si>
  <si>
    <t>IKROM</t>
  </si>
  <si>
    <t>IPUNK</t>
  </si>
  <si>
    <t>ISAH</t>
  </si>
  <si>
    <t>JEN</t>
  </si>
  <si>
    <t>KASUN / raihan</t>
  </si>
  <si>
    <t>KORIK</t>
  </si>
  <si>
    <t>LENI</t>
  </si>
  <si>
    <t>MISNUR / IYAN</t>
  </si>
  <si>
    <t>P.BONDAN</t>
  </si>
  <si>
    <t>P.RIS@AYUK</t>
  </si>
  <si>
    <t>PAAT@LATIF</t>
  </si>
  <si>
    <t>PAK.IR</t>
  </si>
  <si>
    <t>RAMA</t>
  </si>
  <si>
    <t>ROBET</t>
  </si>
  <si>
    <t>ROH felis</t>
  </si>
  <si>
    <t>ROHIM</t>
  </si>
  <si>
    <t>ROHIMM</t>
  </si>
  <si>
    <t>HAIRUL</t>
  </si>
  <si>
    <t>SADI</t>
  </si>
  <si>
    <t>SINDI</t>
  </si>
  <si>
    <t>TIAR</t>
  </si>
  <si>
    <t>TO</t>
  </si>
  <si>
    <t>TRISPUTRI</t>
  </si>
  <si>
    <t>WAHIT@MELIJO</t>
  </si>
  <si>
    <t>sari</t>
  </si>
  <si>
    <t>amel</t>
  </si>
  <si>
    <t>asmiati/HABIL</t>
  </si>
  <si>
    <t>riska</t>
  </si>
  <si>
    <t>NOVIAR@ARKA</t>
  </si>
  <si>
    <t>PSARI</t>
  </si>
  <si>
    <t>KEVIN</t>
  </si>
  <si>
    <t>Arin</t>
  </si>
  <si>
    <t>ampelgading</t>
  </si>
  <si>
    <t>SUNARNIK</t>
  </si>
  <si>
    <t>SAHAMO@AZRIL</t>
  </si>
  <si>
    <t>nanik uus</t>
  </si>
  <si>
    <t>ALI</t>
  </si>
  <si>
    <t>NITA@AGUS</t>
  </si>
  <si>
    <t>TEGUH@SUM</t>
  </si>
  <si>
    <t>ILYAS@TERMINAL</t>
  </si>
  <si>
    <t>IRIL</t>
  </si>
  <si>
    <t>WAWAN@ALEA</t>
  </si>
  <si>
    <t>YENI@PANGGANG</t>
  </si>
  <si>
    <t>PANGGANG</t>
  </si>
  <si>
    <t>WAWAN</t>
  </si>
  <si>
    <t>TRIS</t>
  </si>
  <si>
    <t>RIZKI</t>
  </si>
  <si>
    <t>P.YUNI</t>
  </si>
  <si>
    <t>IRMA@SENTRAL</t>
  </si>
  <si>
    <t>FIRA@SILVIA</t>
  </si>
  <si>
    <t>DHARMA / VERA</t>
  </si>
  <si>
    <t>ADRIS@SILA</t>
  </si>
  <si>
    <t>lemonhouse</t>
  </si>
  <si>
    <t>wahyu</t>
  </si>
  <si>
    <t>P.ULAN</t>
  </si>
  <si>
    <t>PALPAKIS</t>
  </si>
  <si>
    <t>P.TEGUH</t>
  </si>
  <si>
    <t>P.SEH</t>
  </si>
  <si>
    <t>P.NAH@SURYONO</t>
  </si>
  <si>
    <t>P.LUSI@HARIYANTO</t>
  </si>
  <si>
    <t>P.EKO@EKA</t>
  </si>
  <si>
    <t>P.AR@SARIMO</t>
  </si>
  <si>
    <t>HERI@LITA</t>
  </si>
  <si>
    <t>HENDRIK@TOSER</t>
  </si>
  <si>
    <t>DANI@PALPAKIS</t>
  </si>
  <si>
    <t>BINTANG@AGUS</t>
  </si>
  <si>
    <t>yusuf</t>
  </si>
  <si>
    <t>ajimc</t>
  </si>
  <si>
    <t>aldi@bondadap</t>
  </si>
  <si>
    <t>KEBUNDADAP</t>
  </si>
  <si>
    <t>ali@marisa</t>
  </si>
  <si>
    <t>artan@sinta</t>
  </si>
  <si>
    <t>b.anis</t>
  </si>
  <si>
    <t>b.rio.bondadap</t>
  </si>
  <si>
    <t>b.vina</t>
  </si>
  <si>
    <t>dana@bondadap</t>
  </si>
  <si>
    <t>dani@bondadap</t>
  </si>
  <si>
    <t>dimas@aurel</t>
  </si>
  <si>
    <t>edi@hikam</t>
  </si>
  <si>
    <t>gino@septi</t>
  </si>
  <si>
    <t>har</t>
  </si>
  <si>
    <t>ijen@miner</t>
  </si>
  <si>
    <t>jumairi@bondadap ( aditya )</t>
  </si>
  <si>
    <t>jumhari (b. fatur )</t>
  </si>
  <si>
    <t>leo</t>
  </si>
  <si>
    <t>lukman @bondadap</t>
  </si>
  <si>
    <t>mariyanto@bondadap</t>
  </si>
  <si>
    <t>marsuki@bondadap</t>
  </si>
  <si>
    <t>matrasid</t>
  </si>
  <si>
    <t>no@bondadap / p.adit</t>
  </si>
  <si>
    <t>nurulhidayat</t>
  </si>
  <si>
    <t>p.cinta</t>
  </si>
  <si>
    <t>p.mita (terusan )</t>
  </si>
  <si>
    <t>p.rian</t>
  </si>
  <si>
    <t>p.sandra@bondadap</t>
  </si>
  <si>
    <t>p.yul@bondadap</t>
  </si>
  <si>
    <t>pakom</t>
  </si>
  <si>
    <t>pri@rita</t>
  </si>
  <si>
    <t>rafa@bondadap</t>
  </si>
  <si>
    <t>rita sanok</t>
  </si>
  <si>
    <t>rohimsaderi</t>
  </si>
  <si>
    <t>selamet ( p. alfi )</t>
  </si>
  <si>
    <t>suci@bondadap</t>
  </si>
  <si>
    <t>sukron</t>
  </si>
  <si>
    <t>sulyadi@reni</t>
  </si>
  <si>
    <t>supandi / mira</t>
  </si>
  <si>
    <t>suparno@rizki</t>
  </si>
  <si>
    <t>supri@bondadap</t>
  </si>
  <si>
    <t>suryanto@iqbal</t>
  </si>
  <si>
    <t>suwarno@popi</t>
  </si>
  <si>
    <t>tejo@bocil</t>
  </si>
  <si>
    <t>tinaadis</t>
  </si>
  <si>
    <t>wasil@rul</t>
  </si>
  <si>
    <t>wiwik@winda</t>
  </si>
  <si>
    <t>yatik@sok</t>
  </si>
  <si>
    <t>zain@juna</t>
  </si>
  <si>
    <t>BAGAS</t>
  </si>
  <si>
    <t>DIO</t>
  </si>
  <si>
    <t>EPUL</t>
  </si>
  <si>
    <t>HASIM</t>
  </si>
  <si>
    <t>IYAN</t>
  </si>
  <si>
    <t>PAINO</t>
  </si>
  <si>
    <t>RARA</t>
  </si>
  <si>
    <t>RIZAL</t>
  </si>
  <si>
    <t>yanto/ ayuk</t>
  </si>
  <si>
    <t>giyanto</t>
  </si>
  <si>
    <t>jumaani</t>
  </si>
  <si>
    <t>b.lilik</t>
  </si>
  <si>
    <t>ridho</t>
  </si>
  <si>
    <t>wawan</t>
  </si>
  <si>
    <t>ilzam</t>
  </si>
  <si>
    <t>kasun musahwi</t>
  </si>
  <si>
    <t>sigit</t>
  </si>
  <si>
    <t>hedi</t>
  </si>
  <si>
    <t>silvi</t>
  </si>
  <si>
    <t>dimas</t>
  </si>
  <si>
    <t>imron</t>
  </si>
  <si>
    <t>yono@rindi</t>
  </si>
  <si>
    <t>RAFKA</t>
  </si>
  <si>
    <t>Sumaini</t>
  </si>
  <si>
    <t>Sutri</t>
  </si>
  <si>
    <t>SAMSUL</t>
  </si>
  <si>
    <t>aldivoli</t>
  </si>
  <si>
    <t>p. sak siti / blm app</t>
  </si>
  <si>
    <t>natan</t>
  </si>
  <si>
    <t>windi</t>
  </si>
  <si>
    <t>alfarel</t>
  </si>
  <si>
    <t>arling@bondadap</t>
  </si>
  <si>
    <t>dita</t>
  </si>
  <si>
    <t>adi</t>
  </si>
  <si>
    <t>ADI@KAKA</t>
  </si>
  <si>
    <t>AGUS@BIMA</t>
  </si>
  <si>
    <t>AGUS@PLN</t>
  </si>
  <si>
    <t>ALDI@RAVEL</t>
  </si>
  <si>
    <t>ASIH</t>
  </si>
  <si>
    <t>BENDOT</t>
  </si>
  <si>
    <t>BUDI@MONOT</t>
  </si>
  <si>
    <t>BUS@SUMBERWATU</t>
  </si>
  <si>
    <t>FIDO</t>
  </si>
  <si>
    <t>IIN@BUANG</t>
  </si>
  <si>
    <t>IKSAN</t>
  </si>
  <si>
    <t>IQBAL@IYAN</t>
  </si>
  <si>
    <t>LINA@RUDI</t>
  </si>
  <si>
    <t>lina gita</t>
  </si>
  <si>
    <t>MAHSUN</t>
  </si>
  <si>
    <t>MBAKENDANG</t>
  </si>
  <si>
    <t>MELI</t>
  </si>
  <si>
    <t>MUJIBNUR</t>
  </si>
  <si>
    <t>NURI</t>
  </si>
  <si>
    <t>OPIK@ANI</t>
  </si>
  <si>
    <t>P.MUL@RUJAK</t>
  </si>
  <si>
    <t>PAIDI@SALMAN</t>
  </si>
  <si>
    <t>pur</t>
  </si>
  <si>
    <t>rahmat adis</t>
  </si>
  <si>
    <t>RIBUT@WAWAN</t>
  </si>
  <si>
    <t>roni</t>
  </si>
  <si>
    <t>RUBIT</t>
  </si>
  <si>
    <t>RUMANI</t>
  </si>
  <si>
    <t>SALIM@RAFI</t>
  </si>
  <si>
    <t>SAN@ULAN</t>
  </si>
  <si>
    <t>SIS</t>
  </si>
  <si>
    <t>SUM@SUMBERWATU</t>
  </si>
  <si>
    <t>SUPANDIK</t>
  </si>
  <si>
    <t>VILA@SERUNI ( terusan )</t>
  </si>
  <si>
    <t>YOSI@SUMBERWATU</t>
  </si>
  <si>
    <t>INDAHSARI / uut</t>
  </si>
  <si>
    <t>SASKIA</t>
  </si>
  <si>
    <t>SRI/SUPIATI</t>
  </si>
  <si>
    <t>anis@ismanto</t>
  </si>
  <si>
    <t>AMEL</t>
  </si>
  <si>
    <t>usnan</t>
  </si>
  <si>
    <t>mul</t>
  </si>
  <si>
    <t>seruni</t>
  </si>
  <si>
    <t>hikmah</t>
  </si>
  <si>
    <t>karsono</t>
  </si>
  <si>
    <t>inul</t>
  </si>
  <si>
    <t>Rita</t>
  </si>
  <si>
    <t>payumi</t>
  </si>
  <si>
    <t>ALIMAH</t>
  </si>
  <si>
    <t>Lailatul</t>
  </si>
  <si>
    <t>Saitun</t>
  </si>
  <si>
    <t>YAYAN</t>
  </si>
  <si>
    <t>SURYADI</t>
  </si>
  <si>
    <t>P.DEJO@PADEPOKAN</t>
  </si>
  <si>
    <t>HADI@HOMESTAY</t>
  </si>
  <si>
    <t>LEKEKO</t>
  </si>
  <si>
    <t>ALHIDAYAH ( masjid )</t>
  </si>
  <si>
    <t>AGUS@TRIK</t>
  </si>
  <si>
    <t>TAMANSARI</t>
  </si>
  <si>
    <t>ANTO@YUNI</t>
  </si>
  <si>
    <t>BAKIR</t>
  </si>
  <si>
    <t>BUANG</t>
  </si>
  <si>
    <t>DIANSRI</t>
  </si>
  <si>
    <t>DIKIN</t>
  </si>
  <si>
    <t>FERDI</t>
  </si>
  <si>
    <t>KARNO</t>
  </si>
  <si>
    <t>KASTINI@HOMESTAY</t>
  </si>
  <si>
    <t>LINA@ALAH</t>
  </si>
  <si>
    <t>MEI</t>
  </si>
  <si>
    <t>NUR@MIS</t>
  </si>
  <si>
    <t>OMGAE</t>
  </si>
  <si>
    <t>OSEN@SIH</t>
  </si>
  <si>
    <t>RIBUT</t>
  </si>
  <si>
    <t>RIMA</t>
  </si>
  <si>
    <t>ROSI@JEPANG</t>
  </si>
  <si>
    <t>SILA</t>
  </si>
  <si>
    <t>SUGENG</t>
  </si>
  <si>
    <t>SUGENG@LEBAK</t>
  </si>
  <si>
    <t>SUKARNI</t>
  </si>
  <si>
    <t>SUNDAR@RONI</t>
  </si>
  <si>
    <t>SUS@RAHMA</t>
  </si>
  <si>
    <t>TERMINAL@SUNARIAH</t>
  </si>
  <si>
    <t>TING@HASAN</t>
  </si>
  <si>
    <t>TIYA@HASANAH</t>
  </si>
  <si>
    <t>PALAPA</t>
  </si>
  <si>
    <t>TOKO BANGUNAN</t>
  </si>
  <si>
    <t>TOPAN</t>
  </si>
  <si>
    <t>TUTIK@SILVI</t>
  </si>
  <si>
    <t>UDIN@GURU</t>
  </si>
  <si>
    <t>WIWIK</t>
  </si>
  <si>
    <t>YUDI ( tuki )</t>
  </si>
  <si>
    <t>YUDI@WENI</t>
  </si>
  <si>
    <t>YUDIALFI</t>
  </si>
  <si>
    <t>YULI</t>
  </si>
  <si>
    <t>alfi</t>
  </si>
  <si>
    <t>ipulkendang</t>
  </si>
  <si>
    <t>karomah</t>
  </si>
  <si>
    <t>nurjanah</t>
  </si>
  <si>
    <t>rosida</t>
  </si>
  <si>
    <t>suhairi</t>
  </si>
  <si>
    <t>fitri</t>
  </si>
  <si>
    <t>pandik.sasakarang.085790418068</t>
  </si>
  <si>
    <t>mislan</t>
  </si>
  <si>
    <t>konik</t>
  </si>
  <si>
    <t>MISWANTO</t>
  </si>
  <si>
    <t>NANANG</t>
  </si>
  <si>
    <t>LINDA</t>
  </si>
  <si>
    <t>SPP edi sr</t>
  </si>
  <si>
    <t>hakim</t>
  </si>
  <si>
    <t>DARDAK</t>
  </si>
  <si>
    <t>RIZKI@ROZI</t>
  </si>
  <si>
    <t>DIDIK@ADIT</t>
  </si>
  <si>
    <t>FAIZ</t>
  </si>
  <si>
    <t>LINDUNG@RADYA</t>
  </si>
  <si>
    <t>KHOLIK</t>
  </si>
  <si>
    <t>YAH@LIA / vino</t>
  </si>
  <si>
    <t>YAYAN@MIRNA</t>
  </si>
  <si>
    <t>nita.krajan.082325252182</t>
  </si>
  <si>
    <t>ARIP.RT.TAMANSARI</t>
  </si>
  <si>
    <t>alfarizi</t>
  </si>
  <si>
    <t>DASHBOARD PEMBAYARAN TAGIHAN WIFI</t>
  </si>
  <si>
    <t>TAGIHAN BELUM LUNAS</t>
  </si>
  <si>
    <t>TOTAL PELANGGAN</t>
  </si>
  <si>
    <t>TOTAL PENGELUARAN</t>
  </si>
  <si>
    <t>RP :</t>
  </si>
  <si>
    <t>CASH :</t>
  </si>
  <si>
    <t>BCA :</t>
  </si>
  <si>
    <t>BRI :</t>
  </si>
  <si>
    <t>MANDIRI :</t>
  </si>
  <si>
    <t xml:space="preserve">TOTAL KESELURUHAN RP </t>
  </si>
  <si>
    <t>PEMBAYARAN</t>
  </si>
  <si>
    <t>KETERANGAN</t>
  </si>
  <si>
    <t>CASH</t>
  </si>
  <si>
    <t>BCA</t>
  </si>
  <si>
    <t>BRI</t>
  </si>
  <si>
    <t>MANDIRI</t>
  </si>
  <si>
    <t>(RP)</t>
  </si>
  <si>
    <t>BULAN</t>
  </si>
  <si>
    <t>TANGGAL</t>
  </si>
  <si>
    <t>URAIAN</t>
  </si>
  <si>
    <t>JUMLAH</t>
  </si>
  <si>
    <t>TOTAL :</t>
  </si>
  <si>
    <t>10mbps</t>
  </si>
  <si>
    <t>20mbps</t>
  </si>
  <si>
    <t>30mbps</t>
  </si>
  <si>
    <t>50mbps</t>
  </si>
  <si>
    <t>100mbps</t>
  </si>
  <si>
    <t>200Mbps</t>
  </si>
  <si>
    <t>300Mbps</t>
  </si>
  <si>
    <t>400Mbps</t>
  </si>
  <si>
    <t>500Mbps</t>
  </si>
  <si>
    <t>600Mbps</t>
  </si>
  <si>
    <t>Tentang:</t>
  </si>
  <si>
    <t>Template ini mempermudah pengelolaan usaha Wifi dengan fitur dashboard ringkasan, pencatatan biaya operasional, Semua terintegrasi untuk mempermudah manajemen usaha wifi.</t>
  </si>
  <si>
    <t>Panduan:</t>
  </si>
  <si>
    <t>1. Sebelum mulai menggunakan template, sesuaikan dulu jenis layanan paket wifi,kode paket dan harga ada di menu setup ⚙️</t>
  </si>
  <si>
    <t>2. Sheet Dashboard🖥️ dapat Anda gunakan untuk melihat ringkasan laporan keuangan usaha wifi Anda. Semua data yang Anda butuhkan dapat Anda lihat hanya dalam satu sheet</t>
  </si>
  <si>
    <t xml:space="preserve">3. Pada sheet Nama Pelanggan, masukkan semua data tiap pelanggan wifi. </t>
  </si>
  <si>
    <t>4. Pada sheet Tagihan Pelanggan Sebagian sudah terintrigasi dengan shet nama pelanggan, tinggal isi dikolom pembayaran dan tagihan belum lunas.</t>
  </si>
  <si>
    <t>Saran Penggunaan :</t>
  </si>
  <si>
    <t>⚠️ disarankan untuk menggunakan laptop atau tablet, disarankan untuk tidak menghapus kolom yang sudah ada rumusnya</t>
  </si>
  <si>
    <t>Catatan:</t>
  </si>
  <si>
    <t>⚠️ Sejumlah fitur pada spreadsheet ini kemungkinan belum support jika digunakan melalui aplikasi Microsoft Excel. Untuk penggunaan maksimal, pastikan hanya melakukan editing melalui Google Sheet.</t>
  </si>
  <si>
    <t>Terima kasih karena sudah menggunakan spreadsheet ini! :D</t>
  </si>
  <si>
    <t>BNI</t>
  </si>
  <si>
    <t>bni :</t>
  </si>
  <si>
    <t>BELUM LUNAS</t>
  </si>
  <si>
    <t>april</t>
  </si>
  <si>
    <t>LUNAS</t>
  </si>
  <si>
    <t>selamet dinda / ima</t>
  </si>
  <si>
    <t>free</t>
  </si>
  <si>
    <t>ucik@iyon</t>
  </si>
  <si>
    <t>royalemart</t>
  </si>
  <si>
    <t>pandik@yuni</t>
  </si>
  <si>
    <t>david</t>
  </si>
  <si>
    <t>rehan</t>
  </si>
  <si>
    <t>sunarso</t>
  </si>
  <si>
    <t>tanahlos</t>
  </si>
  <si>
    <t>udin</t>
  </si>
  <si>
    <t>pipit tn</t>
  </si>
  <si>
    <t>idinan</t>
  </si>
  <si>
    <t>mawardi</t>
  </si>
  <si>
    <t>cinta</t>
  </si>
  <si>
    <t>tamansari</t>
  </si>
  <si>
    <t>jun</t>
  </si>
  <si>
    <t>bondadap</t>
  </si>
  <si>
    <t>pemasangan</t>
  </si>
  <si>
    <t>fee p.ulan</t>
  </si>
  <si>
    <t>lelita</t>
  </si>
  <si>
    <t xml:space="preserve">fee mba yuni </t>
  </si>
  <si>
    <t>JTV</t>
  </si>
  <si>
    <t>TOWER</t>
  </si>
  <si>
    <t>mei</t>
  </si>
  <si>
    <t xml:space="preserve">okt-mei </t>
  </si>
  <si>
    <t xml:space="preserve">feb-mei </t>
  </si>
  <si>
    <t>oktavia</t>
  </si>
  <si>
    <t>jan-mei</t>
  </si>
  <si>
    <t>pos tiket</t>
  </si>
  <si>
    <t>elhan/ kurik</t>
  </si>
  <si>
    <t xml:space="preserve">andi kader </t>
  </si>
  <si>
    <t>des-mei</t>
  </si>
  <si>
    <t>april-mei</t>
  </si>
  <si>
    <t xml:space="preserve">nurul bu guru </t>
  </si>
  <si>
    <t>nov-mei</t>
  </si>
  <si>
    <t>sept-mei</t>
  </si>
  <si>
    <t>rizal</t>
  </si>
  <si>
    <t xml:space="preserve">TOTAL TAGIHAN </t>
  </si>
  <si>
    <t>TOTAL PEMBAYARAN LUNAS RP</t>
  </si>
  <si>
    <t>11 mei 2026</t>
  </si>
  <si>
    <t>mas fany fee</t>
  </si>
  <si>
    <t>13 mei 2026</t>
  </si>
  <si>
    <t>14 mei 2026</t>
  </si>
  <si>
    <t>mba ida fee</t>
  </si>
  <si>
    <t>mba lili fee</t>
  </si>
  <si>
    <t>16 mei 2026</t>
  </si>
  <si>
    <t>mba dita fee</t>
  </si>
  <si>
    <t xml:space="preserve">19 mei 2026 </t>
  </si>
  <si>
    <t xml:space="preserve">21 mei 2026 </t>
  </si>
  <si>
    <t xml:space="preserve">2 juni 2026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</si>
</sst>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&quot;$&quot;* #,##0.00_);_(&quot;$&quot;* \(#,##0.00\);_(&quot;$&quot;* &quot;-&quot;??_);_(@_)"/>
    <numFmt numFmtId="165" formatCode="[$Rp]#,##0.00"/>
    <numFmt numFmtId="166" formatCode="_-[$Rp]* #,##0.00_-;\-[$Rp]* #,##0.00_-;_-[$Rp]* &quot;-&quot;??_-;_-@_-" x16r2:formatCode16="_-[$Rp-jv-Latn-ID]* #,##0.00_-;\-[$Rp-jv-Latn-ID]* #,##0.00_-;_-[$Rp-jv-Latn-ID]* &quot;-&quot;??_-;_-@_-"/>
  </numFmts>
  <fonts count="22" x14ac:knownFonts="1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b/>
      <i/>
      <sz val="24"/>
      <color rgb="FF000000"/>
      <name val="Merriweather"/>
    </font>
    <font>
      <b/>
      <i/>
      <sz val="24"/>
      <color theme="1"/>
      <name val="Merriweather"/>
    </font>
    <font>
      <b/>
      <sz val="12"/>
      <color theme="1"/>
      <name val="Arial"/>
      <family val="2"/>
      <scheme val="minor"/>
    </font>
    <font>
      <b/>
      <i/>
      <sz val="10"/>
      <color rgb="FFFF0000"/>
      <name val="Arial"/>
      <family val="2"/>
      <scheme val="minor"/>
    </font>
    <font>
      <b/>
      <i/>
      <sz val="30"/>
      <color theme="1"/>
      <name val="Arial"/>
      <family val="2"/>
      <scheme val="minor"/>
    </font>
    <font>
      <b/>
      <i/>
      <sz val="10"/>
      <color rgb="FF9900FF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rgb="FF434343"/>
      <name val="Roboto"/>
    </font>
    <font>
      <b/>
      <sz val="10"/>
      <color rgb="FF000000"/>
      <name val="Arial"/>
      <family val="2"/>
      <scheme val="minor"/>
    </font>
    <font>
      <sz val="10"/>
      <color theme="1"/>
      <name val="Arial"/>
      <family val="2"/>
    </font>
    <font>
      <b/>
      <sz val="15"/>
      <color rgb="FF6CC832"/>
      <name val="Open Sans"/>
    </font>
    <font>
      <b/>
      <sz val="12"/>
      <color rgb="FF34A853"/>
      <name val="Open Sans"/>
    </font>
    <font>
      <sz val="10"/>
      <color theme="1"/>
      <name val="Open Sans"/>
    </font>
    <font>
      <u/>
      <sz val="10"/>
      <color rgb="FF0000FF"/>
      <name val="Open Sans"/>
    </font>
    <font>
      <b/>
      <i/>
      <sz val="10"/>
      <color rgb="FFFFFFFF"/>
      <name val="Open Sans"/>
    </font>
    <font>
      <u/>
      <sz val="10"/>
      <color theme="10"/>
      <name val="Arial"/>
      <scheme val="minor"/>
    </font>
    <font>
      <sz val="8"/>
      <name val="Arial"/>
      <scheme val="minor"/>
    </font>
    <font>
      <sz val="10"/>
      <color rgb="FF000000"/>
      <name val="Arial"/>
      <scheme val="minor"/>
    </font>
    <font>
      <sz val="10"/>
      <color rgb="FF000000"/>
      <name val="Arial"/>
      <family val="2"/>
      <scheme val="minor"/>
    </font>
    <font>
      <sz val="8"/>
      <name val="Arial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FF5ED"/>
        <bgColor rgb="FFFFF5ED"/>
      </patternFill>
    </fill>
    <fill>
      <patternFill patternType="solid">
        <fgColor rgb="FFC9DAF8"/>
        <bgColor rgb="FFC9DAF8"/>
      </patternFill>
    </fill>
    <fill>
      <patternFill patternType="solid">
        <fgColor rgb="FFF8F9FA"/>
        <bgColor rgb="FFF8F9FA"/>
      </patternFill>
    </fill>
    <fill>
      <patternFill patternType="solid">
        <fgColor rgb="FFB7E1CD"/>
        <bgColor rgb="FFB7E1CD"/>
      </patternFill>
    </fill>
    <fill>
      <patternFill patternType="solid">
        <fgColor rgb="FFD9D9D9"/>
        <bgColor rgb="FFD9D9D9"/>
      </patternFill>
    </fill>
    <fill>
      <patternFill patternType="solid">
        <fgColor rgb="FF191919"/>
        <bgColor rgb="FF191919"/>
      </patternFill>
    </fill>
    <fill>
      <patternFill patternType="solid">
        <fgColor rgb="FF34A853"/>
        <bgColor rgb="FF34A853"/>
      </patternFill>
    </fill>
    <fill>
      <patternFill patternType="solid">
        <fgColor rgb="FFFFDFDF"/>
        <bgColor rgb="FFFFDFDF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FFFF"/>
      </patternFill>
    </fill>
  </fills>
  <borders count="30">
    <border>
      <left/>
      <right/>
      <top/>
      <bottom/>
      <diagonal/>
    </border>
    <border>
      <left style="double">
        <color rgb="FF000000"/>
      </left>
      <right/>
      <top style="double">
        <color rgb="FF000000"/>
      </top>
      <bottom/>
      <diagonal/>
    </border>
    <border>
      <left/>
      <right/>
      <top style="double">
        <color rgb="FF000000"/>
      </top>
      <bottom/>
      <diagonal/>
    </border>
    <border>
      <left/>
      <right style="double">
        <color rgb="FF000000"/>
      </right>
      <top style="double">
        <color rgb="FF000000"/>
      </top>
      <bottom/>
      <diagonal/>
    </border>
    <border>
      <left style="double">
        <color rgb="FF000000"/>
      </left>
      <right/>
      <top/>
      <bottom/>
      <diagonal/>
    </border>
    <border>
      <left/>
      <right style="double">
        <color rgb="FF000000"/>
      </right>
      <top/>
      <bottom/>
      <diagonal/>
    </border>
    <border>
      <left style="double">
        <color rgb="FF000000"/>
      </left>
      <right/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 style="double">
        <color rgb="FF000000"/>
      </right>
      <top/>
      <bottom style="double">
        <color rgb="FF000000"/>
      </bottom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double">
        <color rgb="FF000000"/>
      </left>
      <right style="double">
        <color rgb="FF000000"/>
      </right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double">
        <color rgb="FF000000"/>
      </bottom>
      <diagonal/>
    </border>
    <border>
      <left/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dotted">
        <color rgb="FFFFF5ED"/>
      </top>
      <bottom style="dotted">
        <color rgb="FFFFF5ED"/>
      </bottom>
      <diagonal/>
    </border>
    <border>
      <left/>
      <right style="dotted">
        <color rgb="FFFFF5ED"/>
      </right>
      <top style="dotted">
        <color rgb="FFFFF5ED"/>
      </top>
      <bottom style="dotted">
        <color rgb="FFFFF5ED"/>
      </bottom>
      <diagonal/>
    </border>
    <border>
      <left style="hair">
        <color rgb="FFF3F3F3"/>
      </left>
      <right/>
      <top style="hair">
        <color rgb="FFF3F3F3"/>
      </top>
      <bottom/>
      <diagonal/>
    </border>
    <border>
      <left/>
      <right/>
      <top style="hair">
        <color rgb="FFF3F3F3"/>
      </top>
      <bottom/>
      <diagonal/>
    </border>
    <border>
      <left style="hair">
        <color rgb="FFF3F3F3"/>
      </left>
      <right/>
      <top style="hair">
        <color rgb="FFD9D9D9"/>
      </top>
      <bottom style="hair">
        <color rgb="FFD9D9D9"/>
      </bottom>
      <diagonal/>
    </border>
    <border>
      <left/>
      <right/>
      <top style="hair">
        <color rgb="FFD9D9D9"/>
      </top>
      <bottom style="hair">
        <color rgb="FFD9D9D9"/>
      </bottom>
      <diagonal/>
    </border>
    <border>
      <left/>
      <right/>
      <top style="hair">
        <color rgb="FFD9D9D9"/>
      </top>
      <bottom/>
      <diagonal/>
    </border>
    <border>
      <left style="hair">
        <color rgb="FFF3F3F3"/>
      </left>
      <right/>
      <top/>
      <bottom/>
      <diagonal/>
    </border>
    <border>
      <left style="hair">
        <color rgb="FFF3F3F3"/>
      </left>
      <right/>
      <top/>
      <bottom style="hair">
        <color rgb="FFD9D9D9"/>
      </bottom>
      <diagonal/>
    </border>
    <border>
      <left/>
      <right/>
      <top/>
      <bottom style="hair">
        <color rgb="FFD9D9D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dotted">
        <color rgb="FFFFF5ED"/>
      </left>
      <right style="dotted">
        <color rgb="FFFFF5ED"/>
      </right>
      <top style="dotted">
        <color rgb="FFFFF5ED"/>
      </top>
      <bottom style="dotted">
        <color rgb="FFFFF5ED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7" fillId="0" borderId="0" applyNumberFormat="0" applyFill="0" applyBorder="0" applyAlignment="0" applyProtection="0"/>
    <xf numFmtId="164" fontId="19" fillId="0" borderId="0" applyFont="0" applyFill="0" applyBorder="0" applyAlignment="0" applyProtection="0"/>
  </cellStyleXfs>
  <cellXfs count="10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4" borderId="10" xfId="0" applyFont="1" applyFill="1" applyBorder="1" applyAlignment="1">
      <alignment horizontal="center" vertical="center"/>
    </xf>
    <xf numFmtId="165" fontId="7" fillId="4" borderId="10" xfId="0" applyNumberFormat="1" applyFont="1" applyFill="1" applyBorder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165" fontId="8" fillId="2" borderId="0" xfId="0" applyNumberFormat="1" applyFont="1" applyFill="1" applyAlignment="1">
      <alignment horizontal="center" vertical="center"/>
    </xf>
    <xf numFmtId="0" fontId="1" fillId="5" borderId="10" xfId="0" applyFont="1" applyFill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165" fontId="1" fillId="5" borderId="9" xfId="0" applyNumberFormat="1" applyFont="1" applyFill="1" applyBorder="1" applyAlignment="1">
      <alignment horizontal="center" vertical="center"/>
    </xf>
    <xf numFmtId="0" fontId="8" fillId="2" borderId="12" xfId="0" applyFont="1" applyFill="1" applyBorder="1" applyAlignment="1">
      <alignment horizontal="center" vertical="center"/>
    </xf>
    <xf numFmtId="165" fontId="8" fillId="2" borderId="12" xfId="0" applyNumberFormat="1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6" borderId="0" xfId="0" applyFont="1" applyFill="1" applyAlignment="1">
      <alignment horizontal="center" vertical="center"/>
    </xf>
    <xf numFmtId="165" fontId="8" fillId="0" borderId="0" xfId="0" applyNumberFormat="1" applyFont="1" applyAlignment="1">
      <alignment horizontal="center" vertical="center"/>
    </xf>
    <xf numFmtId="0" fontId="1" fillId="7" borderId="9" xfId="0" applyFont="1" applyFill="1" applyBorder="1" applyAlignment="1">
      <alignment horizontal="center" vertical="center"/>
    </xf>
    <xf numFmtId="165" fontId="1" fillId="7" borderId="9" xfId="0" applyNumberFormat="1" applyFont="1" applyFill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2" borderId="12" xfId="0" applyFont="1" applyFill="1" applyBorder="1" applyAlignment="1">
      <alignment horizontal="center"/>
    </xf>
    <xf numFmtId="0" fontId="9" fillId="6" borderId="12" xfId="0" applyFont="1" applyFill="1" applyBorder="1"/>
    <xf numFmtId="0" fontId="8" fillId="4" borderId="12" xfId="0" applyFont="1" applyFill="1" applyBorder="1" applyAlignment="1">
      <alignment horizontal="center" vertical="center"/>
    </xf>
    <xf numFmtId="165" fontId="8" fillId="0" borderId="12" xfId="0" applyNumberFormat="1" applyFont="1" applyBorder="1" applyAlignment="1">
      <alignment horizontal="center" vertical="center"/>
    </xf>
    <xf numFmtId="165" fontId="8" fillId="4" borderId="12" xfId="0" applyNumberFormat="1" applyFont="1" applyFill="1" applyBorder="1" applyAlignment="1">
      <alignment horizontal="center" vertical="center"/>
    </xf>
    <xf numFmtId="0" fontId="10" fillId="7" borderId="10" xfId="0" applyFont="1" applyFill="1" applyBorder="1" applyAlignment="1">
      <alignment horizontal="center" vertical="center"/>
    </xf>
    <xf numFmtId="165" fontId="10" fillId="7" borderId="10" xfId="0" applyNumberFormat="1" applyFont="1" applyFill="1" applyBorder="1" applyAlignment="1">
      <alignment horizontal="center" vertical="center"/>
    </xf>
    <xf numFmtId="0" fontId="8" fillId="8" borderId="15" xfId="0" applyFont="1" applyFill="1" applyBorder="1" applyAlignment="1">
      <alignment horizontal="center" vertical="center"/>
    </xf>
    <xf numFmtId="165" fontId="8" fillId="8" borderId="15" xfId="0" applyNumberFormat="1" applyFont="1" applyFill="1" applyBorder="1" applyAlignment="1">
      <alignment horizontal="center" vertical="center"/>
    </xf>
    <xf numFmtId="0" fontId="8" fillId="8" borderId="12" xfId="0" applyFont="1" applyFill="1" applyBorder="1" applyAlignment="1">
      <alignment horizontal="center" vertical="center"/>
    </xf>
    <xf numFmtId="165" fontId="8" fillId="8" borderId="12" xfId="0" applyNumberFormat="1" applyFont="1" applyFill="1" applyBorder="1" applyAlignment="1">
      <alignment horizontal="center" vertical="center"/>
    </xf>
    <xf numFmtId="0" fontId="11" fillId="0" borderId="0" xfId="0" applyFont="1"/>
    <xf numFmtId="0" fontId="11" fillId="9" borderId="0" xfId="0" applyFont="1" applyFill="1"/>
    <xf numFmtId="0" fontId="11" fillId="4" borderId="0" xfId="0" applyFont="1" applyFill="1"/>
    <xf numFmtId="0" fontId="11" fillId="4" borderId="20" xfId="0" applyFont="1" applyFill="1" applyBorder="1"/>
    <xf numFmtId="0" fontId="11" fillId="4" borderId="21" xfId="0" applyFont="1" applyFill="1" applyBorder="1"/>
    <xf numFmtId="0" fontId="11" fillId="4" borderId="23" xfId="0" applyFont="1" applyFill="1" applyBorder="1"/>
    <xf numFmtId="0" fontId="11" fillId="0" borderId="20" xfId="0" applyFont="1" applyBorder="1"/>
    <xf numFmtId="0" fontId="8" fillId="8" borderId="27" xfId="0" applyFont="1" applyFill="1" applyBorder="1" applyAlignment="1">
      <alignment horizontal="center" vertical="center"/>
    </xf>
    <xf numFmtId="165" fontId="8" fillId="8" borderId="27" xfId="0" applyNumberFormat="1" applyFont="1" applyFill="1" applyBorder="1" applyAlignment="1">
      <alignment horizontal="center" vertical="center"/>
    </xf>
    <xf numFmtId="0" fontId="8" fillId="8" borderId="26" xfId="0" applyFont="1" applyFill="1" applyBorder="1" applyAlignment="1">
      <alignment horizontal="center" vertical="center"/>
    </xf>
    <xf numFmtId="165" fontId="8" fillId="8" borderId="26" xfId="0" applyNumberFormat="1" applyFont="1" applyFill="1" applyBorder="1" applyAlignment="1">
      <alignment horizontal="center" vertical="center"/>
    </xf>
    <xf numFmtId="0" fontId="8" fillId="2" borderId="26" xfId="0" applyFont="1" applyFill="1" applyBorder="1" applyAlignment="1">
      <alignment horizontal="center" vertical="center"/>
    </xf>
    <xf numFmtId="165" fontId="8" fillId="2" borderId="26" xfId="0" applyNumberFormat="1" applyFont="1" applyFill="1" applyBorder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0" fontId="8" fillId="2" borderId="12" xfId="0" applyFont="1" applyFill="1" applyBorder="1" applyAlignment="1">
      <alignment horizontal="left" vertical="center"/>
    </xf>
    <xf numFmtId="0" fontId="8" fillId="0" borderId="12" xfId="0" applyFont="1" applyBorder="1" applyAlignment="1">
      <alignment horizontal="left"/>
    </xf>
    <xf numFmtId="0" fontId="8" fillId="2" borderId="26" xfId="0" applyFont="1" applyFill="1" applyBorder="1" applyAlignment="1">
      <alignment horizontal="left" vertic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17" fillId="0" borderId="12" xfId="1" applyBorder="1" applyAlignment="1">
      <alignment horizontal="left"/>
    </xf>
    <xf numFmtId="0" fontId="8" fillId="0" borderId="0" xfId="0" applyFont="1" applyAlignment="1">
      <alignment horizontal="left"/>
    </xf>
    <xf numFmtId="14" fontId="8" fillId="2" borderId="26" xfId="0" applyNumberFormat="1" applyFont="1" applyFill="1" applyBorder="1" applyAlignment="1">
      <alignment horizontal="center" vertical="center"/>
    </xf>
    <xf numFmtId="15" fontId="8" fillId="2" borderId="26" xfId="0" applyNumberFormat="1" applyFont="1" applyFill="1" applyBorder="1" applyAlignment="1">
      <alignment horizontal="center" vertical="center"/>
    </xf>
    <xf numFmtId="166" fontId="0" fillId="0" borderId="0" xfId="2" applyNumberFormat="1" applyFont="1"/>
    <xf numFmtId="166" fontId="0" fillId="0" borderId="0" xfId="2" applyNumberFormat="1" applyFont="1" applyFill="1"/>
    <xf numFmtId="0" fontId="8" fillId="0" borderId="12" xfId="0" applyFont="1" applyBorder="1" applyAlignment="1">
      <alignment horizontal="center"/>
    </xf>
    <xf numFmtId="0" fontId="9" fillId="0" borderId="12" xfId="0" applyFont="1" applyBorder="1"/>
    <xf numFmtId="0" fontId="8" fillId="13" borderId="26" xfId="0" applyFont="1" applyFill="1" applyBorder="1" applyAlignment="1">
      <alignment horizontal="center" vertical="center"/>
    </xf>
    <xf numFmtId="0" fontId="20" fillId="12" borderId="26" xfId="0" applyFont="1" applyFill="1" applyBorder="1"/>
    <xf numFmtId="166" fontId="20" fillId="12" borderId="26" xfId="2" applyNumberFormat="1" applyFont="1" applyFill="1" applyBorder="1"/>
    <xf numFmtId="0" fontId="0" fillId="0" borderId="26" xfId="0" applyBorder="1"/>
    <xf numFmtId="0" fontId="20" fillId="0" borderId="26" xfId="0" applyFont="1" applyBorder="1"/>
    <xf numFmtId="166" fontId="0" fillId="0" borderId="26" xfId="2" applyNumberFormat="1" applyFont="1" applyBorder="1"/>
    <xf numFmtId="166" fontId="0" fillId="0" borderId="26" xfId="2" applyNumberFormat="1" applyFont="1" applyFill="1" applyBorder="1"/>
    <xf numFmtId="0" fontId="8" fillId="2" borderId="29" xfId="0" applyFont="1" applyFill="1" applyBorder="1" applyAlignment="1">
      <alignment horizontal="center" vertical="center"/>
    </xf>
    <xf numFmtId="165" fontId="8" fillId="2" borderId="29" xfId="0" applyNumberFormat="1" applyFont="1" applyFill="1" applyBorder="1" applyAlignment="1">
      <alignment horizontal="center" vertical="center"/>
    </xf>
    <xf numFmtId="0" fontId="1" fillId="2" borderId="26" xfId="0" applyFont="1" applyFill="1" applyBorder="1" applyAlignment="1">
      <alignment horizontal="center" vertical="center"/>
    </xf>
    <xf numFmtId="165" fontId="1" fillId="2" borderId="26" xfId="0" applyNumberFormat="1" applyFont="1" applyFill="1" applyBorder="1" applyAlignment="1">
      <alignment horizontal="center" vertical="center"/>
    </xf>
    <xf numFmtId="0" fontId="1" fillId="4" borderId="10" xfId="0" applyFont="1" applyFill="1" applyBorder="1" applyAlignment="1">
      <alignment horizontal="center" vertical="center"/>
    </xf>
    <xf numFmtId="0" fontId="0" fillId="0" borderId="11" xfId="0" applyBorder="1"/>
    <xf numFmtId="0" fontId="6" fillId="4" borderId="10" xfId="0" applyFont="1" applyFill="1" applyBorder="1" applyAlignment="1">
      <alignment horizontal="center" vertical="center"/>
    </xf>
    <xf numFmtId="0" fontId="0" fillId="0" borderId="3" xfId="0" applyBorder="1"/>
    <xf numFmtId="0" fontId="0" fillId="0" borderId="6" xfId="0" applyBorder="1"/>
    <xf numFmtId="0" fontId="0" fillId="0" borderId="8" xfId="0" applyBorder="1"/>
    <xf numFmtId="165" fontId="7" fillId="4" borderId="10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4" fillId="4" borderId="10" xfId="0" applyFont="1" applyFill="1" applyBorder="1" applyAlignment="1">
      <alignment horizontal="center" vertical="center"/>
    </xf>
    <xf numFmtId="165" fontId="5" fillId="4" borderId="10" xfId="0" applyNumberFormat="1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0" fontId="0" fillId="0" borderId="2" xfId="0" applyBorder="1"/>
    <xf numFmtId="0" fontId="0" fillId="0" borderId="4" xfId="0" applyBorder="1"/>
    <xf numFmtId="0" fontId="0" fillId="0" borderId="5" xfId="0" applyBorder="1"/>
    <xf numFmtId="0" fontId="0" fillId="0" borderId="7" xfId="0" applyBorder="1"/>
    <xf numFmtId="165" fontId="1" fillId="7" borderId="10" xfId="0" applyNumberFormat="1" applyFont="1" applyFill="1" applyBorder="1" applyAlignment="1">
      <alignment horizontal="center" vertical="center"/>
    </xf>
    <xf numFmtId="0" fontId="0" fillId="0" borderId="14" xfId="0" applyBorder="1"/>
    <xf numFmtId="0" fontId="1" fillId="7" borderId="10" xfId="0" applyFont="1" applyFill="1" applyBorder="1" applyAlignment="1">
      <alignment horizontal="center" vertical="center"/>
    </xf>
    <xf numFmtId="0" fontId="0" fillId="0" borderId="13" xfId="0" applyBorder="1"/>
    <xf numFmtId="0" fontId="16" fillId="10" borderId="20" xfId="0" applyFont="1" applyFill="1" applyBorder="1"/>
    <xf numFmtId="0" fontId="0" fillId="0" borderId="21" xfId="0" applyBorder="1"/>
    <xf numFmtId="0" fontId="13" fillId="4" borderId="20" xfId="0" applyFont="1" applyFill="1" applyBorder="1"/>
    <xf numFmtId="0" fontId="11" fillId="9" borderId="0" xfId="0" applyFont="1" applyFill="1" applyAlignment="1">
      <alignment vertical="top"/>
    </xf>
    <xf numFmtId="0" fontId="11" fillId="4" borderId="18" xfId="0" applyFont="1" applyFill="1" applyBorder="1"/>
    <xf numFmtId="0" fontId="0" fillId="0" borderId="19" xfId="0" applyBorder="1"/>
    <xf numFmtId="0" fontId="11" fillId="0" borderId="21" xfId="0" applyFont="1" applyBorder="1"/>
    <xf numFmtId="0" fontId="11" fillId="9" borderId="0" xfId="0" applyFont="1" applyFill="1"/>
    <xf numFmtId="0" fontId="11" fillId="11" borderId="20" xfId="0" applyFont="1" applyFill="1" applyBorder="1" applyAlignment="1">
      <alignment vertical="top"/>
    </xf>
    <xf numFmtId="0" fontId="12" fillId="9" borderId="28" xfId="0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/>
    <xf numFmtId="0" fontId="14" fillId="4" borderId="20" xfId="0" applyFont="1" applyFill="1" applyBorder="1" applyAlignment="1">
      <alignment wrapText="1"/>
    </xf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11" fillId="4" borderId="20" xfId="0" applyFont="1" applyFill="1" applyBorder="1"/>
    <xf numFmtId="0" fontId="15" fillId="4" borderId="20" xfId="0" applyFont="1" applyFill="1" applyBorder="1" applyAlignment="1">
      <alignment wrapText="1"/>
    </xf>
  </cellXfs>
  <cellStyles count="3">
    <cellStyle name="Currency" xfId="2" builtinId="4"/>
    <cellStyle name="Hyperlink" xfId="1" builtinId="8"/>
    <cellStyle name="Normal" xfId="0" builtinId="0"/>
  </cellStyles>
  <dxfs count="2"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mailto:ucik@iyon" TargetMode="External"/><Relationship Id="rId1" Type="http://schemas.openxmlformats.org/officeDocument/2006/relationships/hyperlink" Target="mailto:pandik@yuni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0000"/>
    <outlinePr summaryBelow="0" summaryRight="0"/>
  </sheetPr>
  <dimension ref="A1:M18"/>
  <sheetViews>
    <sheetView zoomScale="73" workbookViewId="0">
      <pane ySplit="4" topLeftCell="A5" activePane="bottomLeft" state="frozen"/>
      <selection pane="bottomLeft" activeCell="E8" sqref="E8:F9"/>
    </sheetView>
  </sheetViews>
  <sheetFormatPr defaultColWidth="12.54296875" defaultRowHeight="15.75" customHeight="1" x14ac:dyDescent="0.25"/>
  <cols>
    <col min="1" max="1" width="1.81640625" customWidth="1"/>
    <col min="2" max="2" width="16.453125" customWidth="1"/>
    <col min="3" max="3" width="18.453125" customWidth="1"/>
    <col min="4" max="4" width="8.81640625" customWidth="1"/>
    <col min="5" max="5" width="16.453125" customWidth="1"/>
    <col min="6" max="6" width="19" customWidth="1"/>
    <col min="7" max="7" width="9.453125" customWidth="1"/>
    <col min="8" max="8" width="16.453125" customWidth="1"/>
    <col min="9" max="9" width="18.54296875" customWidth="1"/>
    <col min="10" max="10" width="9.453125" customWidth="1"/>
    <col min="11" max="11" width="20.1796875" customWidth="1"/>
    <col min="12" max="12" width="26.1796875" customWidth="1"/>
    <col min="13" max="13" width="2.1796875" customWidth="1"/>
  </cols>
  <sheetData>
    <row r="1" spans="1:13" ht="11.25" customHeight="1" x14ac:dyDescent="0.25">
      <c r="A1" s="76"/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</row>
    <row r="2" spans="1:13" ht="30" customHeight="1" x14ac:dyDescent="0.25">
      <c r="A2" s="76"/>
      <c r="B2" s="80" t="s">
        <v>502</v>
      </c>
      <c r="C2" s="81"/>
      <c r="D2" s="81"/>
      <c r="E2" s="81"/>
      <c r="F2" s="81"/>
      <c r="G2" s="81"/>
      <c r="H2" s="81"/>
      <c r="I2" s="81"/>
      <c r="J2" s="81"/>
      <c r="K2" s="81"/>
      <c r="L2" s="72"/>
      <c r="M2" s="2"/>
    </row>
    <row r="3" spans="1:13" ht="30" customHeight="1" x14ac:dyDescent="0.25">
      <c r="A3" s="77"/>
      <c r="B3" s="82"/>
      <c r="C3" s="77"/>
      <c r="D3" s="77"/>
      <c r="E3" s="77"/>
      <c r="F3" s="77"/>
      <c r="G3" s="77"/>
      <c r="H3" s="77"/>
      <c r="I3" s="77"/>
      <c r="J3" s="77"/>
      <c r="K3" s="77"/>
      <c r="L3" s="83"/>
      <c r="M3" s="2"/>
    </row>
    <row r="4" spans="1:13" ht="30" customHeight="1" x14ac:dyDescent="0.25">
      <c r="A4" s="77"/>
      <c r="B4" s="73"/>
      <c r="C4" s="84"/>
      <c r="D4" s="84"/>
      <c r="E4" s="84"/>
      <c r="F4" s="84"/>
      <c r="G4" s="84"/>
      <c r="H4" s="84"/>
      <c r="I4" s="84"/>
      <c r="J4" s="84"/>
      <c r="K4" s="84"/>
      <c r="L4" s="74"/>
      <c r="M4" s="2"/>
    </row>
    <row r="5" spans="1:13" ht="9.75" customHeight="1" x14ac:dyDescent="0.25">
      <c r="A5" s="76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1"/>
    </row>
    <row r="6" spans="1:13" ht="24" customHeight="1" x14ac:dyDescent="0.25">
      <c r="A6" s="77"/>
      <c r="B6" s="78" t="s">
        <v>503</v>
      </c>
      <c r="C6" s="72"/>
      <c r="D6" s="3"/>
      <c r="E6" s="78" t="s">
        <v>504</v>
      </c>
      <c r="F6" s="72"/>
      <c r="G6" s="3"/>
      <c r="H6" s="78" t="s">
        <v>505</v>
      </c>
      <c r="I6" s="72"/>
      <c r="J6" s="3"/>
      <c r="K6" s="78" t="s">
        <v>589</v>
      </c>
      <c r="L6" s="72"/>
      <c r="M6" s="1"/>
    </row>
    <row r="7" spans="1:13" ht="24" customHeight="1" x14ac:dyDescent="0.25">
      <c r="A7" s="77"/>
      <c r="B7" s="73"/>
      <c r="C7" s="74"/>
      <c r="D7" s="3"/>
      <c r="E7" s="73"/>
      <c r="F7" s="74"/>
      <c r="G7" s="3"/>
      <c r="H7" s="73"/>
      <c r="I7" s="74"/>
      <c r="J7" s="3"/>
      <c r="K7" s="73"/>
      <c r="L7" s="74"/>
      <c r="M7" s="1"/>
    </row>
    <row r="8" spans="1:13" ht="24" customHeight="1" x14ac:dyDescent="0.25">
      <c r="A8" s="77"/>
      <c r="B8" s="69" t="s">
        <v>506</v>
      </c>
      <c r="C8" s="79">
        <f>SUM('Tagihan Pelanggan'!M4:M601)</f>
        <v>15950000</v>
      </c>
      <c r="D8" s="3"/>
      <c r="E8" s="71">
        <f>COUNTA(NamaPelanggan!C3:C602)</f>
        <v>500</v>
      </c>
      <c r="F8" s="72"/>
      <c r="G8" s="3"/>
      <c r="H8" s="69" t="s">
        <v>506</v>
      </c>
      <c r="I8" s="79">
        <f>Pengeluaran!F3</f>
        <v>1915000</v>
      </c>
      <c r="J8" s="3"/>
      <c r="K8" s="4" t="s">
        <v>507</v>
      </c>
      <c r="L8" s="5">
        <f>SUM('Tagihan Pelanggan'!G4:G601)</f>
        <v>75000</v>
      </c>
      <c r="M8" s="1"/>
    </row>
    <row r="9" spans="1:13" ht="24" customHeight="1" x14ac:dyDescent="0.25">
      <c r="A9" s="77"/>
      <c r="B9" s="70"/>
      <c r="C9" s="70"/>
      <c r="D9" s="3"/>
      <c r="E9" s="73"/>
      <c r="F9" s="74"/>
      <c r="G9" s="3"/>
      <c r="H9" s="70"/>
      <c r="I9" s="70"/>
      <c r="J9" s="3"/>
      <c r="K9" s="4" t="s">
        <v>508</v>
      </c>
      <c r="L9" s="5">
        <f>SUM('Tagihan Pelanggan'!H4:H601)</f>
        <v>900000</v>
      </c>
      <c r="M9" s="1"/>
    </row>
    <row r="10" spans="1:13" ht="24" customHeight="1" x14ac:dyDescent="0.25">
      <c r="A10" s="77"/>
      <c r="B10" s="3"/>
      <c r="C10" s="3"/>
      <c r="D10" s="3"/>
      <c r="E10" s="3"/>
      <c r="F10" s="3"/>
      <c r="G10" s="3"/>
      <c r="H10" s="3"/>
      <c r="I10" s="3"/>
      <c r="J10" s="3"/>
      <c r="K10" s="4" t="s">
        <v>509</v>
      </c>
      <c r="L10" s="5">
        <f>SUM('Tagihan Pelanggan'!I4:I601)</f>
        <v>42790000</v>
      </c>
      <c r="M10" s="1"/>
    </row>
    <row r="11" spans="1:13" ht="24" customHeight="1" x14ac:dyDescent="0.25">
      <c r="A11" s="77"/>
      <c r="B11" s="3"/>
      <c r="C11" s="3"/>
      <c r="D11" s="3"/>
      <c r="E11" s="3"/>
      <c r="F11" s="3"/>
      <c r="G11" s="3"/>
      <c r="H11" s="3"/>
      <c r="I11" s="3"/>
      <c r="J11" s="3"/>
      <c r="K11" s="4" t="s">
        <v>510</v>
      </c>
      <c r="L11" s="5">
        <f>SUM('Tagihan Pelanggan'!J4:J601)</f>
        <v>700000</v>
      </c>
      <c r="M11" s="1"/>
    </row>
    <row r="12" spans="1:13" ht="24" customHeight="1" x14ac:dyDescent="0.25">
      <c r="A12" s="77"/>
      <c r="B12" s="3"/>
      <c r="C12" s="3"/>
      <c r="D12" s="3"/>
      <c r="E12" s="3"/>
      <c r="F12" s="3"/>
      <c r="G12" s="3"/>
      <c r="H12" s="3"/>
      <c r="I12" s="3"/>
      <c r="J12" s="3"/>
      <c r="K12" s="4" t="s">
        <v>547</v>
      </c>
      <c r="L12" s="5">
        <f>SUM('Tagihan Pelanggan'!K4:K601)</f>
        <v>100000</v>
      </c>
      <c r="M12" s="1"/>
    </row>
    <row r="13" spans="1:13" ht="24" customHeight="1" x14ac:dyDescent="0.25">
      <c r="A13" s="77"/>
      <c r="B13" s="3"/>
      <c r="C13" s="3"/>
      <c r="D13" s="3"/>
      <c r="E13" s="3"/>
      <c r="F13" s="3"/>
      <c r="G13" s="3"/>
      <c r="H13" s="3"/>
      <c r="I13" s="3"/>
      <c r="J13" s="3"/>
      <c r="K13" s="78" t="s">
        <v>511</v>
      </c>
      <c r="L13" s="72"/>
      <c r="M13" s="1"/>
    </row>
    <row r="14" spans="1:13" ht="24" customHeight="1" x14ac:dyDescent="0.25">
      <c r="A14" s="77"/>
      <c r="B14" s="3"/>
      <c r="C14" s="3"/>
      <c r="D14" s="3"/>
      <c r="E14" s="3"/>
      <c r="F14" s="3"/>
      <c r="G14" s="3"/>
      <c r="H14" s="3"/>
      <c r="I14" s="3"/>
      <c r="J14" s="3"/>
      <c r="K14" s="73"/>
      <c r="L14" s="74"/>
      <c r="M14" s="1"/>
    </row>
    <row r="15" spans="1:13" ht="24" customHeight="1" x14ac:dyDescent="0.25">
      <c r="A15" s="77"/>
      <c r="B15" s="3"/>
      <c r="C15" s="3"/>
      <c r="D15" s="3"/>
      <c r="E15" s="3"/>
      <c r="F15" s="3"/>
      <c r="G15" s="3"/>
      <c r="H15" s="3"/>
      <c r="I15" s="3"/>
      <c r="J15" s="3"/>
      <c r="K15" s="69" t="s">
        <v>506</v>
      </c>
      <c r="L15" s="75">
        <f>L8+L9+L10+L11+L12</f>
        <v>44565000</v>
      </c>
      <c r="M15" s="1"/>
    </row>
    <row r="16" spans="1:13" ht="24" customHeight="1" x14ac:dyDescent="0.25">
      <c r="A16" s="77"/>
      <c r="B16" s="3"/>
      <c r="C16" s="3"/>
      <c r="D16" s="3"/>
      <c r="E16" s="3"/>
      <c r="F16" s="3"/>
      <c r="G16" s="3"/>
      <c r="H16" s="3"/>
      <c r="I16" s="3"/>
      <c r="J16" s="3"/>
      <c r="K16" s="70"/>
      <c r="L16" s="70"/>
      <c r="M16" s="1"/>
    </row>
    <row r="17" spans="1:13" ht="24" customHeight="1" x14ac:dyDescent="0.25">
      <c r="A17" s="77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1"/>
    </row>
    <row r="18" spans="1:13" ht="9" customHeight="1" x14ac:dyDescent="0.25">
      <c r="A18" s="77"/>
      <c r="B18" s="76"/>
      <c r="C18" s="77"/>
      <c r="D18" s="77"/>
      <c r="E18" s="77"/>
      <c r="F18" s="77"/>
      <c r="G18" s="77"/>
      <c r="H18" s="77"/>
      <c r="I18" s="77"/>
      <c r="J18" s="77"/>
      <c r="K18" s="77"/>
      <c r="L18" s="77"/>
      <c r="M18" s="77"/>
    </row>
  </sheetData>
  <mergeCells count="17">
    <mergeCell ref="A1:M1"/>
    <mergeCell ref="E6:F7"/>
    <mergeCell ref="I8:I9"/>
    <mergeCell ref="A2:A4"/>
    <mergeCell ref="H6:I7"/>
    <mergeCell ref="C8:C9"/>
    <mergeCell ref="K6:L7"/>
    <mergeCell ref="H8:H9"/>
    <mergeCell ref="B8:B9"/>
    <mergeCell ref="B6:C7"/>
    <mergeCell ref="B2:L4"/>
    <mergeCell ref="K15:K16"/>
    <mergeCell ref="E8:F9"/>
    <mergeCell ref="L15:L16"/>
    <mergeCell ref="A5:A18"/>
    <mergeCell ref="K13:L14"/>
    <mergeCell ref="B18:M1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4A86E8"/>
    <outlinePr summaryBelow="0" summaryRight="0"/>
  </sheetPr>
  <dimension ref="A1:I984"/>
  <sheetViews>
    <sheetView tabSelected="1" workbookViewId="0">
      <pane xSplit="2" ySplit="2" topLeftCell="C489" activePane="bottomRight" state="frozen"/>
      <selection pane="topRight" activeCell="C1" sqref="C1"/>
      <selection pane="bottomLeft" activeCell="A3" sqref="A3"/>
      <selection pane="bottomRight" activeCell="J497" sqref="J497"/>
    </sheetView>
  </sheetViews>
  <sheetFormatPr defaultColWidth="12.54296875" defaultRowHeight="15.75" customHeight="1" x14ac:dyDescent="0.25"/>
  <cols>
    <col min="1" max="1" width="1.54296875" customWidth="1"/>
    <col min="2" max="2" width="5.1796875" customWidth="1"/>
    <col min="3" max="3" width="20.453125" style="49" customWidth="1"/>
    <col min="4" max="4" width="24.1796875" style="48" customWidth="1"/>
    <col min="5" max="5" width="25" customWidth="1"/>
    <col min="6" max="6" width="13.453125" customWidth="1"/>
    <col min="8" max="8" width="13.54296875" customWidth="1"/>
    <col min="9" max="9" width="1.81640625" customWidth="1"/>
  </cols>
  <sheetData>
    <row r="1" spans="1:9" ht="7.5" customHeight="1" x14ac:dyDescent="0.25">
      <c r="A1" s="6" t="s">
        <v>0</v>
      </c>
      <c r="B1" s="6"/>
      <c r="C1" s="6"/>
      <c r="D1" s="44"/>
      <c r="E1" s="6"/>
      <c r="F1" s="6"/>
      <c r="G1" s="6"/>
      <c r="H1" s="7"/>
      <c r="I1" s="6"/>
    </row>
    <row r="2" spans="1:9" ht="24" customHeight="1" x14ac:dyDescent="0.25">
      <c r="A2" s="1"/>
      <c r="B2" s="8" t="s">
        <v>1</v>
      </c>
      <c r="C2" s="9" t="s">
        <v>2</v>
      </c>
      <c r="D2" s="9" t="s">
        <v>3</v>
      </c>
      <c r="E2" s="9" t="s">
        <v>4</v>
      </c>
      <c r="F2" s="9" t="s">
        <v>5</v>
      </c>
      <c r="G2" s="10" t="s">
        <v>6</v>
      </c>
      <c r="H2" s="11" t="s">
        <v>7</v>
      </c>
      <c r="I2" s="1"/>
    </row>
    <row r="3" spans="1:9" ht="12.75" customHeight="1" x14ac:dyDescent="0.25">
      <c r="A3" s="6"/>
      <c r="B3" s="6">
        <v>1</v>
      </c>
      <c r="C3" s="12" t="str">
        <f t="shared" ref="C3:C4" si="0">IF(D3="","",LEFT(SUBSTITUTE(UPPER(E3)," ",""),3)&amp;"-"&amp;TEXT(B3,"000"))</f>
        <v>BLI-001</v>
      </c>
      <c r="D3" s="46" t="s">
        <v>8</v>
      </c>
      <c r="E3" s="12" t="s">
        <v>9</v>
      </c>
      <c r="F3" s="12">
        <v>10</v>
      </c>
      <c r="G3" s="12" t="str">
        <f>IFERROR(VLOOKUP(F3,Setup!B:C,2,FALSE),"")</f>
        <v>10mbps</v>
      </c>
      <c r="H3" s="13">
        <f>IFERROR(VLOOKUP(G3,Setup!C:D,2,FALSE),"")</f>
        <v>100000</v>
      </c>
      <c r="I3" s="6"/>
    </row>
    <row r="4" spans="1:9" ht="12.75" customHeight="1" x14ac:dyDescent="0.25">
      <c r="A4" s="6"/>
      <c r="B4" s="6">
        <v>2</v>
      </c>
      <c r="C4" s="12" t="str">
        <f t="shared" si="0"/>
        <v>BLI-002</v>
      </c>
      <c r="D4" s="46" t="s">
        <v>10</v>
      </c>
      <c r="E4" s="12" t="s">
        <v>9</v>
      </c>
      <c r="F4" s="12">
        <v>10</v>
      </c>
      <c r="G4" s="12" t="str">
        <f>IFERROR(VLOOKUP(F4,Setup!B:C,2,FALSE),"")</f>
        <v>10mbps</v>
      </c>
      <c r="H4" s="13">
        <f>IFERROR(VLOOKUP(G4,Setup!C:D,2,FALSE),"")</f>
        <v>100000</v>
      </c>
      <c r="I4" s="6"/>
    </row>
    <row r="5" spans="1:9" ht="12.75" customHeight="1" x14ac:dyDescent="0.25">
      <c r="A5" s="6"/>
      <c r="B5" s="6">
        <v>3</v>
      </c>
      <c r="C5" s="12" t="str">
        <f t="shared" ref="C5:C68" si="1">IF(D5="","",LEFT(SUBSTITUTE(UPPER(E5)," ",""),3)&amp;"-"&amp;TEXT(B5,"000"))</f>
        <v>BLI-003</v>
      </c>
      <c r="D5" s="46" t="s">
        <v>11</v>
      </c>
      <c r="E5" s="12" t="s">
        <v>9</v>
      </c>
      <c r="F5" s="12">
        <v>10</v>
      </c>
      <c r="G5" s="12" t="str">
        <f>IFERROR(VLOOKUP(F5,Setup!B:C,2,FALSE),"")</f>
        <v>10mbps</v>
      </c>
      <c r="H5" s="13">
        <f>IFERROR(VLOOKUP(G5,Setup!C:D,2,FALSE),"")</f>
        <v>100000</v>
      </c>
      <c r="I5" s="6"/>
    </row>
    <row r="6" spans="1:9" ht="12.75" customHeight="1" x14ac:dyDescent="0.25">
      <c r="A6" s="6"/>
      <c r="B6" s="6">
        <v>4</v>
      </c>
      <c r="C6" s="12" t="str">
        <f t="shared" si="1"/>
        <v>BLI-004</v>
      </c>
      <c r="D6" s="46" t="s">
        <v>12</v>
      </c>
      <c r="E6" s="12" t="s">
        <v>9</v>
      </c>
      <c r="F6" s="12">
        <v>10</v>
      </c>
      <c r="G6" s="12" t="str">
        <f>IFERROR(VLOOKUP(F6,Setup!B:C,2,FALSE),"")</f>
        <v>10mbps</v>
      </c>
      <c r="H6" s="13">
        <f>IFERROR(VLOOKUP(G6,Setup!C:D,2,FALSE),"")</f>
        <v>100000</v>
      </c>
      <c r="I6" s="6"/>
    </row>
    <row r="7" spans="1:9" ht="12.75" customHeight="1" x14ac:dyDescent="0.25">
      <c r="A7" s="6"/>
      <c r="B7" s="6">
        <v>5</v>
      </c>
      <c r="C7" s="12" t="str">
        <f t="shared" si="1"/>
        <v>BLI-005</v>
      </c>
      <c r="D7" s="46" t="s">
        <v>13</v>
      </c>
      <c r="E7" s="12" t="s">
        <v>9</v>
      </c>
      <c r="F7" s="12">
        <v>10</v>
      </c>
      <c r="G7" s="12" t="str">
        <f>IFERROR(VLOOKUP(F7,Setup!B:C,2,FALSE),"")</f>
        <v>10mbps</v>
      </c>
      <c r="H7" s="13">
        <f>IFERROR(VLOOKUP(G7,Setup!C:D,2,FALSE),"")</f>
        <v>100000</v>
      </c>
      <c r="I7" s="6"/>
    </row>
    <row r="8" spans="1:9" ht="12.75" customHeight="1" x14ac:dyDescent="0.25">
      <c r="A8" s="6"/>
      <c r="B8" s="6">
        <v>6</v>
      </c>
      <c r="C8" s="12" t="str">
        <f t="shared" si="1"/>
        <v>BLI-006</v>
      </c>
      <c r="D8" s="46" t="s">
        <v>14</v>
      </c>
      <c r="E8" s="12" t="s">
        <v>9</v>
      </c>
      <c r="F8" s="12">
        <v>10</v>
      </c>
      <c r="G8" s="12" t="str">
        <f>IFERROR(VLOOKUP(F8,Setup!B:C,2,FALSE),"")</f>
        <v>10mbps</v>
      </c>
      <c r="H8" s="13">
        <f>IFERROR(VLOOKUP(G8,Setup!C:D,2,FALSE),"")</f>
        <v>100000</v>
      </c>
      <c r="I8" s="6"/>
    </row>
    <row r="9" spans="1:9" ht="12.75" customHeight="1" x14ac:dyDescent="0.25">
      <c r="A9" s="6"/>
      <c r="B9" s="6">
        <v>7</v>
      </c>
      <c r="C9" s="12" t="str">
        <f t="shared" si="1"/>
        <v>BLI-007</v>
      </c>
      <c r="D9" s="46" t="s">
        <v>15</v>
      </c>
      <c r="E9" s="12" t="s">
        <v>9</v>
      </c>
      <c r="F9" s="12">
        <v>10</v>
      </c>
      <c r="G9" s="12" t="str">
        <f>IFERROR(VLOOKUP(F9,Setup!B:C,2,FALSE),"")</f>
        <v>10mbps</v>
      </c>
      <c r="H9" s="13">
        <f>IFERROR(VLOOKUP(G9,Setup!C:D,2,FALSE),"")</f>
        <v>100000</v>
      </c>
      <c r="I9" s="6"/>
    </row>
    <row r="10" spans="1:9" ht="12.75" customHeight="1" x14ac:dyDescent="0.25">
      <c r="A10" s="6"/>
      <c r="B10" s="6">
        <v>8</v>
      </c>
      <c r="C10" s="12" t="str">
        <f t="shared" si="1"/>
        <v>BLI-008</v>
      </c>
      <c r="D10" s="46" t="s">
        <v>16</v>
      </c>
      <c r="E10" s="12" t="s">
        <v>9</v>
      </c>
      <c r="F10" s="12">
        <v>10</v>
      </c>
      <c r="G10" s="12" t="str">
        <f>IFERROR(VLOOKUP(F10,Setup!B:C,2,FALSE),"")</f>
        <v>10mbps</v>
      </c>
      <c r="H10" s="13">
        <f>IFERROR(VLOOKUP(G10,Setup!C:D,2,FALSE),"")</f>
        <v>100000</v>
      </c>
      <c r="I10" s="6"/>
    </row>
    <row r="11" spans="1:9" ht="12.75" customHeight="1" x14ac:dyDescent="0.25">
      <c r="A11" s="6"/>
      <c r="B11" s="6">
        <v>9</v>
      </c>
      <c r="C11" s="12" t="str">
        <f t="shared" si="1"/>
        <v>BLI-009</v>
      </c>
      <c r="D11" s="46" t="s">
        <v>17</v>
      </c>
      <c r="E11" s="12" t="s">
        <v>9</v>
      </c>
      <c r="F11" s="12">
        <v>10</v>
      </c>
      <c r="G11" s="12" t="str">
        <f>IFERROR(VLOOKUP(F11,Setup!B:C,2,FALSE),"")</f>
        <v>10mbps</v>
      </c>
      <c r="H11" s="13">
        <f>IFERROR(VLOOKUP(G11,Setup!C:D,2,FALSE),"")</f>
        <v>100000</v>
      </c>
      <c r="I11" s="6"/>
    </row>
    <row r="12" spans="1:9" ht="12.75" customHeight="1" x14ac:dyDescent="0.25">
      <c r="A12" s="6"/>
      <c r="B12" s="6">
        <v>10</v>
      </c>
      <c r="C12" s="12" t="str">
        <f t="shared" si="1"/>
        <v>BLI-010</v>
      </c>
      <c r="D12" s="46" t="s">
        <v>18</v>
      </c>
      <c r="E12" s="12" t="s">
        <v>9</v>
      </c>
      <c r="F12" s="12">
        <v>10</v>
      </c>
      <c r="G12" s="12" t="str">
        <f>IFERROR(VLOOKUP(F12,Setup!B:C,2,FALSE),"")</f>
        <v>10mbps</v>
      </c>
      <c r="H12" s="13">
        <f>IFERROR(VLOOKUP(G12,Setup!C:D,2,FALSE),"")</f>
        <v>100000</v>
      </c>
      <c r="I12" s="6"/>
    </row>
    <row r="13" spans="1:9" ht="12.75" customHeight="1" x14ac:dyDescent="0.25">
      <c r="A13" s="6"/>
      <c r="B13" s="6">
        <v>11</v>
      </c>
      <c r="C13" s="12" t="str">
        <f t="shared" si="1"/>
        <v>BLI-011</v>
      </c>
      <c r="D13" s="46" t="s">
        <v>19</v>
      </c>
      <c r="E13" s="12" t="s">
        <v>9</v>
      </c>
      <c r="F13" s="12">
        <v>10</v>
      </c>
      <c r="G13" s="12" t="str">
        <f>IFERROR(VLOOKUP(F13,Setup!B:C,2,FALSE),"")</f>
        <v>10mbps</v>
      </c>
      <c r="H13" s="13">
        <f>IFERROR(VLOOKUP(G13,Setup!C:D,2,FALSE),"")</f>
        <v>100000</v>
      </c>
      <c r="I13" s="6"/>
    </row>
    <row r="14" spans="1:9" ht="12.75" customHeight="1" x14ac:dyDescent="0.25">
      <c r="A14" s="6"/>
      <c r="B14" s="6">
        <v>12</v>
      </c>
      <c r="C14" s="12" t="str">
        <f t="shared" si="1"/>
        <v>BLI-012</v>
      </c>
      <c r="D14" s="46" t="s">
        <v>20</v>
      </c>
      <c r="E14" s="12" t="s">
        <v>9</v>
      </c>
      <c r="F14" s="12">
        <v>10</v>
      </c>
      <c r="G14" s="12" t="str">
        <f>IFERROR(VLOOKUP(F14,Setup!B:C,2,FALSE),"")</f>
        <v>10mbps</v>
      </c>
      <c r="H14" s="13">
        <f>IFERROR(VLOOKUP(G14,Setup!C:D,2,FALSE),"")</f>
        <v>100000</v>
      </c>
      <c r="I14" s="6"/>
    </row>
    <row r="15" spans="1:9" ht="12.75" customHeight="1" x14ac:dyDescent="0.25">
      <c r="A15" s="6"/>
      <c r="B15" s="6">
        <v>13</v>
      </c>
      <c r="C15" s="12" t="str">
        <f t="shared" si="1"/>
        <v>BLI-013</v>
      </c>
      <c r="D15" s="46" t="s">
        <v>21</v>
      </c>
      <c r="E15" s="12" t="s">
        <v>9</v>
      </c>
      <c r="F15" s="12">
        <v>10</v>
      </c>
      <c r="G15" s="12" t="str">
        <f>IFERROR(VLOOKUP(F15,Setup!B:C,2,FALSE),"")</f>
        <v>10mbps</v>
      </c>
      <c r="H15" s="13">
        <f>IFERROR(VLOOKUP(G15,Setup!C:D,2,FALSE),"")</f>
        <v>100000</v>
      </c>
      <c r="I15" s="6"/>
    </row>
    <row r="16" spans="1:9" ht="12.75" customHeight="1" x14ac:dyDescent="0.25">
      <c r="A16" s="6"/>
      <c r="B16" s="6">
        <v>14</v>
      </c>
      <c r="C16" s="12" t="str">
        <f t="shared" si="1"/>
        <v>BLI-014</v>
      </c>
      <c r="D16" s="46" t="s">
        <v>22</v>
      </c>
      <c r="E16" s="12" t="s">
        <v>9</v>
      </c>
      <c r="F16" s="12">
        <v>10</v>
      </c>
      <c r="G16" s="12" t="str">
        <f>IFERROR(VLOOKUP(F16,Setup!B:C,2,FALSE),"")</f>
        <v>10mbps</v>
      </c>
      <c r="H16" s="13">
        <v>50000</v>
      </c>
      <c r="I16" s="6"/>
    </row>
    <row r="17" spans="1:9" ht="12.75" customHeight="1" x14ac:dyDescent="0.25">
      <c r="A17" s="6"/>
      <c r="B17" s="6">
        <v>15</v>
      </c>
      <c r="C17" s="12" t="str">
        <f t="shared" si="1"/>
        <v>BLI-015</v>
      </c>
      <c r="D17" s="46" t="s">
        <v>23</v>
      </c>
      <c r="E17" s="12" t="s">
        <v>9</v>
      </c>
      <c r="F17" s="12">
        <v>10</v>
      </c>
      <c r="G17" s="12" t="str">
        <f>IFERROR(VLOOKUP(F17,Setup!B:C,2,FALSE),"")</f>
        <v>10mbps</v>
      </c>
      <c r="H17" s="13">
        <v>50000</v>
      </c>
      <c r="I17" s="6"/>
    </row>
    <row r="18" spans="1:9" ht="12.75" customHeight="1" x14ac:dyDescent="0.25">
      <c r="A18" s="6"/>
      <c r="B18" s="6">
        <v>16</v>
      </c>
      <c r="C18" s="12" t="str">
        <f t="shared" si="1"/>
        <v>BLI-016</v>
      </c>
      <c r="D18" s="46" t="s">
        <v>24</v>
      </c>
      <c r="E18" s="12" t="s">
        <v>9</v>
      </c>
      <c r="F18" s="12">
        <v>10</v>
      </c>
      <c r="G18" s="12" t="str">
        <f>IFERROR(VLOOKUP(F18,Setup!B:C,2,FALSE),"")</f>
        <v>10mbps</v>
      </c>
      <c r="H18" s="13">
        <v>50000</v>
      </c>
      <c r="I18" s="6"/>
    </row>
    <row r="19" spans="1:9" ht="12.75" customHeight="1" x14ac:dyDescent="0.25">
      <c r="A19" s="6"/>
      <c r="B19" s="6">
        <v>17</v>
      </c>
      <c r="C19" s="12" t="str">
        <f t="shared" si="1"/>
        <v>BLI-017</v>
      </c>
      <c r="D19" s="46" t="s">
        <v>25</v>
      </c>
      <c r="E19" s="12" t="s">
        <v>9</v>
      </c>
      <c r="F19" s="12">
        <v>10</v>
      </c>
      <c r="G19" s="12" t="str">
        <f>IFERROR(VLOOKUP(F19,Setup!B:C,2,FALSE),"")</f>
        <v>10mbps</v>
      </c>
      <c r="H19" s="13">
        <f>IFERROR(VLOOKUP(G19,Setup!C:D,2,FALSE),"")</f>
        <v>100000</v>
      </c>
      <c r="I19" s="6"/>
    </row>
    <row r="20" spans="1:9" ht="12.75" customHeight="1" x14ac:dyDescent="0.25">
      <c r="A20" s="6"/>
      <c r="B20" s="6">
        <v>18</v>
      </c>
      <c r="C20" s="12" t="str">
        <f t="shared" si="1"/>
        <v>BLI-018</v>
      </c>
      <c r="D20" s="46" t="s">
        <v>26</v>
      </c>
      <c r="E20" s="12" t="s">
        <v>9</v>
      </c>
      <c r="F20" s="12">
        <v>10</v>
      </c>
      <c r="G20" s="12" t="str">
        <f>IFERROR(VLOOKUP(F20,Setup!B:C,2,FALSE),"")</f>
        <v>10mbps</v>
      </c>
      <c r="H20" s="13">
        <f>IFERROR(VLOOKUP(G20,Setup!C:D,2,FALSE),"")</f>
        <v>100000</v>
      </c>
      <c r="I20" s="6"/>
    </row>
    <row r="21" spans="1:9" ht="12.75" customHeight="1" x14ac:dyDescent="0.25">
      <c r="A21" s="6"/>
      <c r="B21" s="6">
        <v>19</v>
      </c>
      <c r="C21" s="12" t="str">
        <f t="shared" si="1"/>
        <v>IDI-019</v>
      </c>
      <c r="D21" s="46" t="s">
        <v>27</v>
      </c>
      <c r="E21" s="12" t="s">
        <v>28</v>
      </c>
      <c r="F21" s="12">
        <v>10</v>
      </c>
      <c r="G21" s="12" t="str">
        <f>IFERROR(VLOOKUP(F21,Setup!B:C,2,FALSE),"")</f>
        <v>10mbps</v>
      </c>
      <c r="H21" s="13">
        <f>IFERROR(VLOOKUP(G21,Setup!C:D,2,FALSE),"")</f>
        <v>100000</v>
      </c>
      <c r="I21" s="6"/>
    </row>
    <row r="22" spans="1:9" ht="12.75" customHeight="1" x14ac:dyDescent="0.25">
      <c r="A22" s="6"/>
      <c r="B22" s="6">
        <v>20</v>
      </c>
      <c r="C22" s="12" t="str">
        <f t="shared" si="1"/>
        <v>IDI-020</v>
      </c>
      <c r="D22" s="45" t="s">
        <v>29</v>
      </c>
      <c r="E22" s="12" t="s">
        <v>28</v>
      </c>
      <c r="F22" s="12">
        <v>10</v>
      </c>
      <c r="G22" s="12" t="str">
        <f>IFERROR(VLOOKUP(F22,Setup!B:C,2,FALSE),"")</f>
        <v>10mbps</v>
      </c>
      <c r="H22" s="13">
        <f>IFERROR(VLOOKUP(G22,Setup!C:D,2,FALSE),"")</f>
        <v>100000</v>
      </c>
      <c r="I22" s="6"/>
    </row>
    <row r="23" spans="1:9" ht="12.75" customHeight="1" x14ac:dyDescent="0.25">
      <c r="A23" s="6"/>
      <c r="B23" s="6">
        <v>21</v>
      </c>
      <c r="C23" s="12" t="str">
        <f t="shared" si="1"/>
        <v>IDI-021</v>
      </c>
      <c r="D23" s="46" t="s">
        <v>30</v>
      </c>
      <c r="E23" s="12" t="s">
        <v>28</v>
      </c>
      <c r="F23" s="12">
        <v>10</v>
      </c>
      <c r="G23" s="12" t="str">
        <f>IFERROR(VLOOKUP(F23,Setup!B:C,2,FALSE),"")</f>
        <v>10mbps</v>
      </c>
      <c r="H23" s="13">
        <f>IFERROR(VLOOKUP(G23,Setup!C:D,2,FALSE),"")</f>
        <v>100000</v>
      </c>
      <c r="I23" s="6"/>
    </row>
    <row r="24" spans="1:9" ht="12.75" customHeight="1" x14ac:dyDescent="0.25">
      <c r="A24" s="6"/>
      <c r="B24" s="6">
        <v>22</v>
      </c>
      <c r="C24" s="12" t="str">
        <f t="shared" si="1"/>
        <v>IDI-022</v>
      </c>
      <c r="D24" s="46" t="s">
        <v>31</v>
      </c>
      <c r="E24" s="12" t="s">
        <v>28</v>
      </c>
      <c r="F24" s="12">
        <v>10</v>
      </c>
      <c r="G24" s="12" t="str">
        <f>IFERROR(VLOOKUP(F24,Setup!B:C,2,FALSE),"")</f>
        <v>10mbps</v>
      </c>
      <c r="H24" s="13">
        <f>IFERROR(VLOOKUP(G24,Setup!C:D,2,FALSE),"")</f>
        <v>100000</v>
      </c>
      <c r="I24" s="6"/>
    </row>
    <row r="25" spans="1:9" ht="12.75" customHeight="1" x14ac:dyDescent="0.25">
      <c r="A25" s="6"/>
      <c r="B25" s="6">
        <v>23</v>
      </c>
      <c r="C25" s="12" t="str">
        <f t="shared" si="1"/>
        <v>IDI-023</v>
      </c>
      <c r="D25" s="46" t="s">
        <v>32</v>
      </c>
      <c r="E25" s="12" t="s">
        <v>28</v>
      </c>
      <c r="F25" s="12">
        <v>10</v>
      </c>
      <c r="G25" s="12" t="str">
        <f>IFERROR(VLOOKUP(F25,Setup!B:C,2,FALSE),"")</f>
        <v>10mbps</v>
      </c>
      <c r="H25" s="13">
        <f>IFERROR(VLOOKUP(G25,Setup!C:D,2,FALSE),"")</f>
        <v>100000</v>
      </c>
      <c r="I25" s="6"/>
    </row>
    <row r="26" spans="1:9" ht="12.75" customHeight="1" x14ac:dyDescent="0.25">
      <c r="A26" s="6"/>
      <c r="B26" s="6">
        <v>24</v>
      </c>
      <c r="C26" s="12" t="str">
        <f t="shared" si="1"/>
        <v>IDI-024</v>
      </c>
      <c r="D26" s="46" t="s">
        <v>33</v>
      </c>
      <c r="E26" s="12" t="s">
        <v>28</v>
      </c>
      <c r="F26" s="12">
        <v>10</v>
      </c>
      <c r="G26" s="12" t="str">
        <f>IFERROR(VLOOKUP(F26,Setup!B:C,2,FALSE),"")</f>
        <v>10mbps</v>
      </c>
      <c r="H26" s="13">
        <f>IFERROR(VLOOKUP(G26,Setup!C:D,2,FALSE),"")</f>
        <v>100000</v>
      </c>
      <c r="I26" s="6"/>
    </row>
    <row r="27" spans="1:9" ht="12.75" customHeight="1" x14ac:dyDescent="0.25">
      <c r="A27" s="6"/>
      <c r="B27" s="6">
        <v>25</v>
      </c>
      <c r="C27" s="12" t="str">
        <f t="shared" si="1"/>
        <v>IDI-025</v>
      </c>
      <c r="D27" s="46" t="s">
        <v>34</v>
      </c>
      <c r="E27" s="12" t="s">
        <v>28</v>
      </c>
      <c r="F27" s="12">
        <v>10</v>
      </c>
      <c r="G27" s="12" t="str">
        <f>IFERROR(VLOOKUP(F27,Setup!B:C,2,FALSE),"")</f>
        <v>10mbps</v>
      </c>
      <c r="H27" s="13">
        <f>IFERROR(VLOOKUP(G27,Setup!C:D,2,FALSE),"")</f>
        <v>100000</v>
      </c>
      <c r="I27" s="6"/>
    </row>
    <row r="28" spans="1:9" ht="12.75" customHeight="1" x14ac:dyDescent="0.25">
      <c r="A28" s="6"/>
      <c r="B28" s="6">
        <v>26</v>
      </c>
      <c r="C28" s="12" t="str">
        <f t="shared" si="1"/>
        <v>IDI-026</v>
      </c>
      <c r="D28" s="46" t="s">
        <v>35</v>
      </c>
      <c r="E28" s="12" t="s">
        <v>28</v>
      </c>
      <c r="F28" s="12">
        <v>10</v>
      </c>
      <c r="G28" s="12" t="str">
        <f>IFERROR(VLOOKUP(F28,Setup!B:C,2,FALSE),"")</f>
        <v>10mbps</v>
      </c>
      <c r="H28" s="13">
        <f>IFERROR(VLOOKUP(G28,Setup!C:D,2,FALSE),"")</f>
        <v>100000</v>
      </c>
      <c r="I28" s="6"/>
    </row>
    <row r="29" spans="1:9" ht="12.75" customHeight="1" x14ac:dyDescent="0.25">
      <c r="A29" s="6"/>
      <c r="B29" s="6">
        <v>27</v>
      </c>
      <c r="C29" s="12" t="str">
        <f t="shared" si="1"/>
        <v>IDI-027</v>
      </c>
      <c r="D29" s="46" t="s">
        <v>36</v>
      </c>
      <c r="E29" s="12" t="s">
        <v>28</v>
      </c>
      <c r="F29" s="12">
        <v>10</v>
      </c>
      <c r="G29" s="12" t="str">
        <f>IFERROR(VLOOKUP(F29,Setup!B:C,2,FALSE),"")</f>
        <v>10mbps</v>
      </c>
      <c r="H29" s="13">
        <f>IFERROR(VLOOKUP(G29,Setup!C:D,2,FALSE),"")</f>
        <v>100000</v>
      </c>
      <c r="I29" s="6"/>
    </row>
    <row r="30" spans="1:9" ht="12.75" customHeight="1" x14ac:dyDescent="0.25">
      <c r="A30" s="6"/>
      <c r="B30" s="6">
        <v>28</v>
      </c>
      <c r="C30" s="12" t="str">
        <f t="shared" si="1"/>
        <v>IDI-028</v>
      </c>
      <c r="D30" s="46" t="s">
        <v>37</v>
      </c>
      <c r="E30" s="12" t="s">
        <v>28</v>
      </c>
      <c r="F30" s="12">
        <v>10</v>
      </c>
      <c r="G30" s="12" t="str">
        <f>IFERROR(VLOOKUP(F30,Setup!B:C,2,FALSE),"")</f>
        <v>10mbps</v>
      </c>
      <c r="H30" s="13">
        <f>IFERROR(VLOOKUP(G30,Setup!C:D,2,FALSE),"")</f>
        <v>100000</v>
      </c>
      <c r="I30" s="6"/>
    </row>
    <row r="31" spans="1:9" ht="12.75" customHeight="1" x14ac:dyDescent="0.25">
      <c r="A31" s="6"/>
      <c r="B31" s="6">
        <v>29</v>
      </c>
      <c r="C31" s="12" t="str">
        <f t="shared" si="1"/>
        <v>IDI-029</v>
      </c>
      <c r="D31" s="46" t="s">
        <v>38</v>
      </c>
      <c r="E31" s="12" t="s">
        <v>28</v>
      </c>
      <c r="F31" s="12">
        <v>10</v>
      </c>
      <c r="G31" s="12" t="str">
        <f>IFERROR(VLOOKUP(F31,Setup!B:C,2,FALSE),"")</f>
        <v>10mbps</v>
      </c>
      <c r="H31" s="13">
        <f>IFERROR(VLOOKUP(G31,Setup!C:D,2,FALSE),"")</f>
        <v>100000</v>
      </c>
      <c r="I31" s="6"/>
    </row>
    <row r="32" spans="1:9" ht="12.75" customHeight="1" x14ac:dyDescent="0.25">
      <c r="A32" s="6"/>
      <c r="B32" s="6">
        <v>30</v>
      </c>
      <c r="C32" s="12" t="str">
        <f t="shared" si="1"/>
        <v>IDI-030</v>
      </c>
      <c r="D32" s="46" t="s">
        <v>39</v>
      </c>
      <c r="E32" s="12" t="s">
        <v>28</v>
      </c>
      <c r="F32" s="12">
        <v>10</v>
      </c>
      <c r="G32" s="12" t="str">
        <f>IFERROR(VLOOKUP(F32,Setup!B:C,2,FALSE),"")</f>
        <v>10mbps</v>
      </c>
      <c r="H32" s="13">
        <f>IFERROR(VLOOKUP(G32,Setup!C:D,2,FALSE),"")</f>
        <v>100000</v>
      </c>
      <c r="I32" s="6"/>
    </row>
    <row r="33" spans="1:9" ht="12.75" customHeight="1" x14ac:dyDescent="0.25">
      <c r="A33" s="6"/>
      <c r="B33" s="6">
        <v>31</v>
      </c>
      <c r="C33" s="12" t="str">
        <f t="shared" si="1"/>
        <v>IDI-031</v>
      </c>
      <c r="D33" s="46" t="s">
        <v>40</v>
      </c>
      <c r="E33" s="12" t="s">
        <v>28</v>
      </c>
      <c r="F33" s="12">
        <v>10</v>
      </c>
      <c r="G33" s="12" t="str">
        <f>IFERROR(VLOOKUP(F33,Setup!B:C,2,FALSE),"")</f>
        <v>10mbps</v>
      </c>
      <c r="H33" s="13">
        <f>IFERROR(VLOOKUP(G33,Setup!C:D,2,FALSE),"")</f>
        <v>100000</v>
      </c>
      <c r="I33" s="6"/>
    </row>
    <row r="34" spans="1:9" ht="12.75" customHeight="1" x14ac:dyDescent="0.25">
      <c r="A34" s="6"/>
      <c r="B34" s="6">
        <v>32</v>
      </c>
      <c r="C34" s="12" t="str">
        <f t="shared" si="1"/>
        <v>IDI-032</v>
      </c>
      <c r="D34" s="46" t="s">
        <v>41</v>
      </c>
      <c r="E34" s="12" t="s">
        <v>28</v>
      </c>
      <c r="F34" s="12">
        <v>10</v>
      </c>
      <c r="G34" s="12" t="str">
        <f>IFERROR(VLOOKUP(F34,Setup!B:C,2,FALSE),"")</f>
        <v>10mbps</v>
      </c>
      <c r="H34" s="13">
        <f>IFERROR(VLOOKUP(G34,Setup!C:D,2,FALSE),"")</f>
        <v>100000</v>
      </c>
      <c r="I34" s="6"/>
    </row>
    <row r="35" spans="1:9" ht="12.75" customHeight="1" x14ac:dyDescent="0.25">
      <c r="A35" s="6"/>
      <c r="B35" s="6">
        <v>33</v>
      </c>
      <c r="C35" s="12" t="str">
        <f t="shared" si="1"/>
        <v>IDI-033</v>
      </c>
      <c r="D35" s="46" t="s">
        <v>42</v>
      </c>
      <c r="E35" s="12" t="s">
        <v>28</v>
      </c>
      <c r="F35" s="12">
        <v>10</v>
      </c>
      <c r="G35" s="12" t="str">
        <f>IFERROR(VLOOKUP(F35,Setup!B:C,2,FALSE),"")</f>
        <v>10mbps</v>
      </c>
      <c r="H35" s="13">
        <f>IFERROR(VLOOKUP(G35,Setup!C:D,2,FALSE),"")</f>
        <v>100000</v>
      </c>
      <c r="I35" s="6"/>
    </row>
    <row r="36" spans="1:9" ht="12.75" customHeight="1" x14ac:dyDescent="0.25">
      <c r="A36" s="6"/>
      <c r="B36" s="6">
        <v>34</v>
      </c>
      <c r="C36" s="12" t="str">
        <f t="shared" si="1"/>
        <v>IDI-034</v>
      </c>
      <c r="D36" s="46" t="s">
        <v>43</v>
      </c>
      <c r="E36" s="12" t="s">
        <v>28</v>
      </c>
      <c r="F36" s="12">
        <v>10</v>
      </c>
      <c r="G36" s="12" t="str">
        <f>IFERROR(VLOOKUP(F36,Setup!B:C,2,FALSE),"")</f>
        <v>10mbps</v>
      </c>
      <c r="H36" s="13">
        <f>IFERROR(VLOOKUP(G36,Setup!C:D,2,FALSE),"")</f>
        <v>100000</v>
      </c>
      <c r="I36" s="6"/>
    </row>
    <row r="37" spans="1:9" ht="12.75" customHeight="1" x14ac:dyDescent="0.25">
      <c r="A37" s="6"/>
      <c r="B37" s="6">
        <v>35</v>
      </c>
      <c r="C37" s="12" t="str">
        <f t="shared" si="1"/>
        <v>IDI-035</v>
      </c>
      <c r="D37" s="46" t="s">
        <v>44</v>
      </c>
      <c r="E37" s="12" t="s">
        <v>28</v>
      </c>
      <c r="F37" s="12">
        <v>10</v>
      </c>
      <c r="G37" s="12" t="str">
        <f>IFERROR(VLOOKUP(F37,Setup!B:C,2,FALSE),"")</f>
        <v>10mbps</v>
      </c>
      <c r="H37" s="13">
        <f>IFERROR(VLOOKUP(G37,Setup!C:D,2,FALSE),"")</f>
        <v>100000</v>
      </c>
      <c r="I37" s="6"/>
    </row>
    <row r="38" spans="1:9" ht="12.75" customHeight="1" x14ac:dyDescent="0.25">
      <c r="A38" s="6"/>
      <c r="B38" s="6">
        <v>36</v>
      </c>
      <c r="C38" s="12" t="str">
        <f t="shared" si="1"/>
        <v>IDI-036</v>
      </c>
      <c r="D38" s="46" t="s">
        <v>45</v>
      </c>
      <c r="E38" s="12" t="s">
        <v>28</v>
      </c>
      <c r="F38" s="12">
        <v>10</v>
      </c>
      <c r="G38" s="12" t="str">
        <f>IFERROR(VLOOKUP(F38,Setup!B:C,2,FALSE),"")</f>
        <v>10mbps</v>
      </c>
      <c r="H38" s="13">
        <f>IFERROR(VLOOKUP(G38,Setup!C:D,2,FALSE),"")</f>
        <v>100000</v>
      </c>
      <c r="I38" s="6"/>
    </row>
    <row r="39" spans="1:9" ht="12.75" customHeight="1" x14ac:dyDescent="0.25">
      <c r="A39" s="6"/>
      <c r="B39" s="6">
        <v>37</v>
      </c>
      <c r="C39" s="12" t="str">
        <f t="shared" si="1"/>
        <v>IDI-037</v>
      </c>
      <c r="D39" s="46" t="s">
        <v>46</v>
      </c>
      <c r="E39" s="12" t="s">
        <v>28</v>
      </c>
      <c r="F39" s="12">
        <v>10</v>
      </c>
      <c r="G39" s="12" t="str">
        <f>IFERROR(VLOOKUP(F39,Setup!B:C,2,FALSE),"")</f>
        <v>10mbps</v>
      </c>
      <c r="H39" s="13">
        <f>IFERROR(VLOOKUP(G39,Setup!C:D,2,FALSE),"")</f>
        <v>100000</v>
      </c>
      <c r="I39" s="6"/>
    </row>
    <row r="40" spans="1:9" ht="12.75" customHeight="1" x14ac:dyDescent="0.25">
      <c r="A40" s="6"/>
      <c r="B40" s="6">
        <v>38</v>
      </c>
      <c r="C40" s="12" t="str">
        <f t="shared" si="1"/>
        <v>IDI-038</v>
      </c>
      <c r="D40" s="46" t="s">
        <v>47</v>
      </c>
      <c r="E40" s="12" t="s">
        <v>28</v>
      </c>
      <c r="F40" s="12">
        <v>10</v>
      </c>
      <c r="G40" s="12" t="str">
        <f>IFERROR(VLOOKUP(F40,Setup!B:C,2,FALSE),"")</f>
        <v>10mbps</v>
      </c>
      <c r="H40" s="13">
        <f>IFERROR(VLOOKUP(G40,Setup!C:D,2,FALSE),"")</f>
        <v>100000</v>
      </c>
      <c r="I40" s="6"/>
    </row>
    <row r="41" spans="1:9" ht="12.75" customHeight="1" x14ac:dyDescent="0.25">
      <c r="A41" s="6"/>
      <c r="B41" s="6">
        <v>39</v>
      </c>
      <c r="C41" s="12" t="str">
        <f t="shared" si="1"/>
        <v>IDI-039</v>
      </c>
      <c r="D41" s="46" t="s">
        <v>48</v>
      </c>
      <c r="E41" s="12" t="s">
        <v>28</v>
      </c>
      <c r="F41" s="12">
        <v>10</v>
      </c>
      <c r="G41" s="12" t="str">
        <f>IFERROR(VLOOKUP(F41,Setup!B:C,2,FALSE),"")</f>
        <v>10mbps</v>
      </c>
      <c r="H41" s="13">
        <f>IFERROR(VLOOKUP(G41,Setup!C:D,2,FALSE),"")</f>
        <v>100000</v>
      </c>
      <c r="I41" s="6"/>
    </row>
    <row r="42" spans="1:9" ht="12.75" customHeight="1" x14ac:dyDescent="0.25">
      <c r="A42" s="6"/>
      <c r="B42" s="6">
        <v>40</v>
      </c>
      <c r="C42" s="12" t="str">
        <f t="shared" si="1"/>
        <v>IDI-040</v>
      </c>
      <c r="D42" s="46" t="s">
        <v>49</v>
      </c>
      <c r="E42" s="12" t="s">
        <v>28</v>
      </c>
      <c r="F42" s="12">
        <v>10</v>
      </c>
      <c r="G42" s="12" t="str">
        <f>IFERROR(VLOOKUP(F42,Setup!B:C,2,FALSE),"")</f>
        <v>10mbps</v>
      </c>
      <c r="H42" s="13">
        <f>IFERROR(VLOOKUP(G42,Setup!C:D,2,FALSE),"")</f>
        <v>100000</v>
      </c>
      <c r="I42" s="6"/>
    </row>
    <row r="43" spans="1:9" ht="12.75" customHeight="1" x14ac:dyDescent="0.25">
      <c r="A43" s="6"/>
      <c r="B43" s="6">
        <v>41</v>
      </c>
      <c r="C43" s="12" t="str">
        <f t="shared" si="1"/>
        <v>IDI-041</v>
      </c>
      <c r="D43" s="46" t="s">
        <v>50</v>
      </c>
      <c r="E43" s="12" t="s">
        <v>28</v>
      </c>
      <c r="F43" s="12">
        <v>10</v>
      </c>
      <c r="G43" s="12" t="str">
        <f>IFERROR(VLOOKUP(F43,Setup!B:C,2,FALSE),"")</f>
        <v>10mbps</v>
      </c>
      <c r="H43" s="13">
        <f>IFERROR(VLOOKUP(G43,Setup!C:D,2,FALSE),"")</f>
        <v>100000</v>
      </c>
      <c r="I43" s="6"/>
    </row>
    <row r="44" spans="1:9" ht="12.75" customHeight="1" x14ac:dyDescent="0.25">
      <c r="A44" s="6"/>
      <c r="B44" s="6">
        <v>42</v>
      </c>
      <c r="C44" s="12" t="str">
        <f t="shared" si="1"/>
        <v>IDI-042</v>
      </c>
      <c r="D44" s="46" t="s">
        <v>51</v>
      </c>
      <c r="E44" s="12" t="s">
        <v>28</v>
      </c>
      <c r="F44" s="12">
        <v>10</v>
      </c>
      <c r="G44" s="12" t="str">
        <f>IFERROR(VLOOKUP(F44,Setup!B:C,2,FALSE),"")</f>
        <v>10mbps</v>
      </c>
      <c r="H44" s="13">
        <f>IFERROR(VLOOKUP(G44,Setup!C:D,2,FALSE),"")</f>
        <v>100000</v>
      </c>
      <c r="I44" s="6"/>
    </row>
    <row r="45" spans="1:9" ht="12.75" customHeight="1" x14ac:dyDescent="0.25">
      <c r="A45" s="6"/>
      <c r="B45" s="6">
        <v>43</v>
      </c>
      <c r="C45" s="12" t="str">
        <f t="shared" si="1"/>
        <v>IDI-043</v>
      </c>
      <c r="D45" s="46" t="s">
        <v>52</v>
      </c>
      <c r="E45" s="12" t="s">
        <v>28</v>
      </c>
      <c r="F45" s="12">
        <v>10</v>
      </c>
      <c r="G45" s="12" t="str">
        <f>IFERROR(VLOOKUP(F45,Setup!B:C,2,FALSE),"")</f>
        <v>10mbps</v>
      </c>
      <c r="H45" s="13">
        <f>IFERROR(VLOOKUP(G45,Setup!C:D,2,FALSE),"")</f>
        <v>100000</v>
      </c>
      <c r="I45" s="6"/>
    </row>
    <row r="46" spans="1:9" ht="12.75" customHeight="1" x14ac:dyDescent="0.25">
      <c r="A46" s="6"/>
      <c r="B46" s="6">
        <v>44</v>
      </c>
      <c r="C46" s="12" t="str">
        <f t="shared" si="1"/>
        <v>IDI-044</v>
      </c>
      <c r="D46" s="45" t="s">
        <v>53</v>
      </c>
      <c r="E46" s="12" t="s">
        <v>28</v>
      </c>
      <c r="F46" s="12">
        <v>10</v>
      </c>
      <c r="G46" s="12" t="str">
        <f>IFERROR(VLOOKUP(F46,Setup!B:C,2,FALSE),"")</f>
        <v>10mbps</v>
      </c>
      <c r="H46" s="13">
        <f>IFERROR(VLOOKUP(G46,Setup!C:D,2,FALSE),"")</f>
        <v>100000</v>
      </c>
      <c r="I46" s="6"/>
    </row>
    <row r="47" spans="1:9" ht="12.75" customHeight="1" x14ac:dyDescent="0.25">
      <c r="A47" s="6"/>
      <c r="B47" s="6">
        <v>45</v>
      </c>
      <c r="C47" s="12" t="str">
        <f t="shared" si="1"/>
        <v>IDI-045</v>
      </c>
      <c r="D47" s="46" t="s">
        <v>54</v>
      </c>
      <c r="E47" s="12" t="s">
        <v>28</v>
      </c>
      <c r="F47" s="12">
        <v>10</v>
      </c>
      <c r="G47" s="12" t="str">
        <f>IFERROR(VLOOKUP(F47,Setup!B:C,2,FALSE),"")</f>
        <v>10mbps</v>
      </c>
      <c r="H47" s="13">
        <f>IFERROR(VLOOKUP(G47,Setup!C:D,2,FALSE),"")</f>
        <v>100000</v>
      </c>
      <c r="I47" s="6"/>
    </row>
    <row r="48" spans="1:9" ht="12.75" customHeight="1" x14ac:dyDescent="0.25">
      <c r="A48" s="6"/>
      <c r="B48" s="6">
        <v>46</v>
      </c>
      <c r="C48" s="12" t="str">
        <f t="shared" si="1"/>
        <v>IDI-046</v>
      </c>
      <c r="D48" s="46" t="s">
        <v>55</v>
      </c>
      <c r="E48" s="12" t="s">
        <v>28</v>
      </c>
      <c r="F48" s="12">
        <v>10</v>
      </c>
      <c r="G48" s="12" t="str">
        <f>IFERROR(VLOOKUP(F48,Setup!B:C,2,FALSE),"")</f>
        <v>10mbps</v>
      </c>
      <c r="H48" s="13">
        <f>IFERROR(VLOOKUP(G48,Setup!C:D,2,FALSE),"")</f>
        <v>100000</v>
      </c>
      <c r="I48" s="6"/>
    </row>
    <row r="49" spans="1:9" ht="12.75" customHeight="1" x14ac:dyDescent="0.25">
      <c r="A49" s="6"/>
      <c r="B49" s="6">
        <v>47</v>
      </c>
      <c r="C49" s="12" t="str">
        <f t="shared" si="1"/>
        <v>IDI-047</v>
      </c>
      <c r="D49" s="46" t="s">
        <v>56</v>
      </c>
      <c r="E49" s="12" t="s">
        <v>28</v>
      </c>
      <c r="F49" s="12">
        <v>10</v>
      </c>
      <c r="G49" s="12" t="str">
        <f>IFERROR(VLOOKUP(F49,Setup!B:C,2,FALSE),"")</f>
        <v>10mbps</v>
      </c>
      <c r="H49" s="13">
        <f>IFERROR(VLOOKUP(G49,Setup!C:D,2,FALSE),"")</f>
        <v>100000</v>
      </c>
      <c r="I49" s="6"/>
    </row>
    <row r="50" spans="1:9" ht="12.75" customHeight="1" x14ac:dyDescent="0.25">
      <c r="A50" s="6"/>
      <c r="B50" s="6">
        <v>48</v>
      </c>
      <c r="C50" s="12" t="str">
        <f t="shared" si="1"/>
        <v>IDI-048</v>
      </c>
      <c r="D50" s="46" t="s">
        <v>57</v>
      </c>
      <c r="E50" s="12" t="s">
        <v>28</v>
      </c>
      <c r="F50" s="12">
        <v>10</v>
      </c>
      <c r="G50" s="12" t="str">
        <f>IFERROR(VLOOKUP(F50,Setup!B:C,2,FALSE),"")</f>
        <v>10mbps</v>
      </c>
      <c r="H50" s="13">
        <f>IFERROR(VLOOKUP(G50,Setup!C:D,2,FALSE),"")</f>
        <v>100000</v>
      </c>
      <c r="I50" s="6"/>
    </row>
    <row r="51" spans="1:9" ht="12.75" customHeight="1" x14ac:dyDescent="0.25">
      <c r="A51" s="6"/>
      <c r="B51" s="6">
        <v>49</v>
      </c>
      <c r="C51" s="12" t="str">
        <f t="shared" si="1"/>
        <v>IDI-049</v>
      </c>
      <c r="D51" s="46" t="s">
        <v>58</v>
      </c>
      <c r="E51" s="12" t="s">
        <v>28</v>
      </c>
      <c r="F51" s="12">
        <v>10</v>
      </c>
      <c r="G51" s="12" t="str">
        <f>IFERROR(VLOOKUP(F51,Setup!B:C,2,FALSE),"")</f>
        <v>10mbps</v>
      </c>
      <c r="H51" s="13">
        <f>IFERROR(VLOOKUP(G51,Setup!C:D,2,FALSE),"")</f>
        <v>100000</v>
      </c>
      <c r="I51" s="6"/>
    </row>
    <row r="52" spans="1:9" ht="12.75" customHeight="1" x14ac:dyDescent="0.25">
      <c r="A52" s="6"/>
      <c r="B52" s="6">
        <v>50</v>
      </c>
      <c r="C52" s="12" t="str">
        <f t="shared" si="1"/>
        <v>IDI-050</v>
      </c>
      <c r="D52" s="46" t="s">
        <v>59</v>
      </c>
      <c r="E52" s="12" t="s">
        <v>28</v>
      </c>
      <c r="F52" s="12">
        <v>10</v>
      </c>
      <c r="G52" s="12" t="str">
        <f>IFERROR(VLOOKUP(F52,Setup!B:C,2,FALSE),"")</f>
        <v>10mbps</v>
      </c>
      <c r="H52" s="13">
        <f>IFERROR(VLOOKUP(G52,Setup!C:D,2,FALSE),"")</f>
        <v>100000</v>
      </c>
      <c r="I52" s="6"/>
    </row>
    <row r="53" spans="1:9" ht="12.75" customHeight="1" x14ac:dyDescent="0.25">
      <c r="A53" s="6"/>
      <c r="B53" s="6">
        <v>51</v>
      </c>
      <c r="C53" s="12" t="str">
        <f t="shared" si="1"/>
        <v>IDI-051</v>
      </c>
      <c r="D53" s="46" t="s">
        <v>60</v>
      </c>
      <c r="E53" s="12" t="s">
        <v>28</v>
      </c>
      <c r="F53" s="12">
        <v>10</v>
      </c>
      <c r="G53" s="12" t="str">
        <f>IFERROR(VLOOKUP(F53,Setup!B:C,2,FALSE),"")</f>
        <v>10mbps</v>
      </c>
      <c r="H53" s="13">
        <f>IFERROR(VLOOKUP(G53,Setup!C:D,2,FALSE),"")</f>
        <v>100000</v>
      </c>
      <c r="I53" s="6"/>
    </row>
    <row r="54" spans="1:9" ht="12.75" customHeight="1" x14ac:dyDescent="0.25">
      <c r="A54" s="6"/>
      <c r="B54" s="6">
        <v>52</v>
      </c>
      <c r="C54" s="12" t="str">
        <f t="shared" si="1"/>
        <v>IDI-052</v>
      </c>
      <c r="D54" s="46" t="s">
        <v>61</v>
      </c>
      <c r="E54" s="12" t="s">
        <v>28</v>
      </c>
      <c r="F54" s="12">
        <v>10</v>
      </c>
      <c r="G54" s="12" t="str">
        <f>IFERROR(VLOOKUP(F54,Setup!B:C,2,FALSE),"")</f>
        <v>10mbps</v>
      </c>
      <c r="H54" s="13">
        <f>IFERROR(VLOOKUP(G54,Setup!C:D,2,FALSE),"")</f>
        <v>100000</v>
      </c>
      <c r="I54" s="6"/>
    </row>
    <row r="55" spans="1:9" ht="12.75" customHeight="1" x14ac:dyDescent="0.25">
      <c r="A55" s="6"/>
      <c r="B55" s="6">
        <v>53</v>
      </c>
      <c r="C55" s="12" t="str">
        <f t="shared" si="1"/>
        <v>IDI-053</v>
      </c>
      <c r="D55" s="46" t="s">
        <v>62</v>
      </c>
      <c r="E55" s="12" t="s">
        <v>28</v>
      </c>
      <c r="F55" s="12">
        <v>10</v>
      </c>
      <c r="G55" s="12" t="str">
        <f>IFERROR(VLOOKUP(F55,Setup!B:C,2,FALSE),"")</f>
        <v>10mbps</v>
      </c>
      <c r="H55" s="13">
        <f>IFERROR(VLOOKUP(G55,Setup!C:D,2,FALSE),"")</f>
        <v>100000</v>
      </c>
      <c r="I55" s="6"/>
    </row>
    <row r="56" spans="1:9" ht="12.75" customHeight="1" x14ac:dyDescent="0.25">
      <c r="A56" s="6"/>
      <c r="B56" s="6">
        <v>54</v>
      </c>
      <c r="C56" s="12" t="str">
        <f t="shared" si="1"/>
        <v>IDI-054</v>
      </c>
      <c r="D56" s="46" t="s">
        <v>63</v>
      </c>
      <c r="E56" s="12" t="s">
        <v>28</v>
      </c>
      <c r="F56" s="12">
        <v>10</v>
      </c>
      <c r="G56" s="12" t="str">
        <f>IFERROR(VLOOKUP(F56,Setup!B:C,2,FALSE),"")</f>
        <v>10mbps</v>
      </c>
      <c r="H56" s="13">
        <f>IFERROR(VLOOKUP(G56,Setup!C:D,2,FALSE),"")</f>
        <v>100000</v>
      </c>
      <c r="I56" s="6"/>
    </row>
    <row r="57" spans="1:9" ht="12.75" customHeight="1" x14ac:dyDescent="0.25">
      <c r="A57" s="6"/>
      <c r="B57" s="6">
        <v>55</v>
      </c>
      <c r="C57" s="12" t="str">
        <f t="shared" si="1"/>
        <v>IDI-055</v>
      </c>
      <c r="D57" s="46" t="s">
        <v>64</v>
      </c>
      <c r="E57" s="12" t="s">
        <v>28</v>
      </c>
      <c r="F57" s="12">
        <v>10</v>
      </c>
      <c r="G57" s="12" t="str">
        <f>IFERROR(VLOOKUP(F57,Setup!B:C,2,FALSE),"")</f>
        <v>10mbps</v>
      </c>
      <c r="H57" s="13">
        <f>IFERROR(VLOOKUP(G57,Setup!C:D,2,FALSE),"")</f>
        <v>100000</v>
      </c>
      <c r="I57" s="6"/>
    </row>
    <row r="58" spans="1:9" ht="12.75" customHeight="1" x14ac:dyDescent="0.25">
      <c r="A58" s="6"/>
      <c r="B58" s="6">
        <v>56</v>
      </c>
      <c r="C58" s="12" t="str">
        <f t="shared" si="1"/>
        <v>IDI-056</v>
      </c>
      <c r="D58" s="46" t="s">
        <v>65</v>
      </c>
      <c r="E58" s="12" t="s">
        <v>28</v>
      </c>
      <c r="F58" s="12">
        <v>20</v>
      </c>
      <c r="G58" s="12" t="str">
        <f>IFERROR(VLOOKUP(F58,Setup!B:C,2,FALSE),"")</f>
        <v>20mbps</v>
      </c>
      <c r="H58" s="13">
        <v>150000</v>
      </c>
      <c r="I58" s="6"/>
    </row>
    <row r="59" spans="1:9" ht="12.75" customHeight="1" x14ac:dyDescent="0.25">
      <c r="A59" s="6"/>
      <c r="B59" s="6">
        <v>57</v>
      </c>
      <c r="C59" s="12" t="str">
        <f t="shared" si="1"/>
        <v>IDI-057</v>
      </c>
      <c r="D59" s="46" t="s">
        <v>66</v>
      </c>
      <c r="E59" s="12" t="s">
        <v>28</v>
      </c>
      <c r="F59" s="12">
        <v>10</v>
      </c>
      <c r="G59" s="12" t="str">
        <f>IFERROR(VLOOKUP(F59,Setup!B:C,2,FALSE),"")</f>
        <v>10mbps</v>
      </c>
      <c r="H59" s="13">
        <v>50000</v>
      </c>
      <c r="I59" s="6"/>
    </row>
    <row r="60" spans="1:9" ht="12.75" customHeight="1" x14ac:dyDescent="0.25">
      <c r="A60" s="6"/>
      <c r="B60" s="6">
        <v>58</v>
      </c>
      <c r="C60" s="12" t="str">
        <f t="shared" si="1"/>
        <v>IDI-058</v>
      </c>
      <c r="D60" s="46" t="s">
        <v>67</v>
      </c>
      <c r="E60" s="12" t="s">
        <v>28</v>
      </c>
      <c r="F60" s="12">
        <v>10</v>
      </c>
      <c r="G60" s="12" t="str">
        <f>IFERROR(VLOOKUP(F60,Setup!B:C,2,FALSE),"")</f>
        <v>10mbps</v>
      </c>
      <c r="H60" s="13">
        <v>50000</v>
      </c>
      <c r="I60" s="6"/>
    </row>
    <row r="61" spans="1:9" ht="12.75" customHeight="1" x14ac:dyDescent="0.25">
      <c r="A61" s="6"/>
      <c r="B61" s="6">
        <v>59</v>
      </c>
      <c r="C61" s="12" t="str">
        <f t="shared" si="1"/>
        <v>IDI-059</v>
      </c>
      <c r="D61" s="46" t="s">
        <v>68</v>
      </c>
      <c r="E61" s="12" t="s">
        <v>28</v>
      </c>
      <c r="F61" s="12">
        <v>10</v>
      </c>
      <c r="G61" s="12" t="str">
        <f>IFERROR(VLOOKUP(F61,Setup!B:C,2,FALSE),"")</f>
        <v>10mbps</v>
      </c>
      <c r="H61" s="13">
        <v>50000</v>
      </c>
      <c r="I61" s="6"/>
    </row>
    <row r="62" spans="1:9" ht="12.75" customHeight="1" x14ac:dyDescent="0.25">
      <c r="A62" s="6"/>
      <c r="B62" s="6">
        <v>60</v>
      </c>
      <c r="C62" s="12" t="str">
        <f t="shared" si="1"/>
        <v>IDI-060</v>
      </c>
      <c r="D62" s="46" t="s">
        <v>69</v>
      </c>
      <c r="E62" s="12" t="s">
        <v>28</v>
      </c>
      <c r="F62" s="12">
        <v>10</v>
      </c>
      <c r="G62" s="12" t="str">
        <f>IFERROR(VLOOKUP(F62,Setup!B:C,2,FALSE),"")</f>
        <v>10mbps</v>
      </c>
      <c r="H62" s="13">
        <v>75000</v>
      </c>
      <c r="I62" s="6"/>
    </row>
    <row r="63" spans="1:9" ht="12.75" customHeight="1" x14ac:dyDescent="0.25">
      <c r="A63" s="6"/>
      <c r="B63" s="6">
        <v>61</v>
      </c>
      <c r="C63" s="12" t="str">
        <f t="shared" si="1"/>
        <v>IDI-061</v>
      </c>
      <c r="D63" s="46" t="s">
        <v>70</v>
      </c>
      <c r="E63" s="12" t="s">
        <v>28</v>
      </c>
      <c r="F63" s="12">
        <v>10</v>
      </c>
      <c r="G63" s="12" t="str">
        <f>IFERROR(VLOOKUP(F63,Setup!B:C,2,FALSE),"")</f>
        <v>10mbps</v>
      </c>
      <c r="H63" s="13">
        <f>IFERROR(VLOOKUP(G63,Setup!C:D,2,FALSE),"")</f>
        <v>100000</v>
      </c>
      <c r="I63" s="6"/>
    </row>
    <row r="64" spans="1:9" ht="12.75" customHeight="1" x14ac:dyDescent="0.25">
      <c r="A64" s="6"/>
      <c r="B64" s="6">
        <v>62</v>
      </c>
      <c r="C64" s="12" t="str">
        <f t="shared" si="1"/>
        <v>IDI-062</v>
      </c>
      <c r="D64" s="46" t="s">
        <v>71</v>
      </c>
      <c r="E64" s="12" t="s">
        <v>28</v>
      </c>
      <c r="F64" s="12">
        <v>10</v>
      </c>
      <c r="G64" s="12" t="str">
        <f>IFERROR(VLOOKUP(F64,Setup!B:C,2,FALSE),"")</f>
        <v>10mbps</v>
      </c>
      <c r="H64" s="13">
        <f>IFERROR(VLOOKUP(G64,Setup!C:D,2,FALSE),"")</f>
        <v>100000</v>
      </c>
      <c r="I64" s="6"/>
    </row>
    <row r="65" spans="1:9" ht="12.75" customHeight="1" x14ac:dyDescent="0.25">
      <c r="A65" s="6"/>
      <c r="B65" s="6">
        <v>63</v>
      </c>
      <c r="C65" s="12" t="str">
        <f t="shared" si="1"/>
        <v>IDI-063</v>
      </c>
      <c r="D65" s="46" t="s">
        <v>72</v>
      </c>
      <c r="E65" s="12" t="s">
        <v>28</v>
      </c>
      <c r="F65" s="12">
        <v>10</v>
      </c>
      <c r="G65" s="12" t="str">
        <f>IFERROR(VLOOKUP(F65,Setup!B:C,2,FALSE),"")</f>
        <v>10mbps</v>
      </c>
      <c r="H65" s="13">
        <f>IFERROR(VLOOKUP(G65,Setup!C:D,2,FALSE),"")</f>
        <v>100000</v>
      </c>
      <c r="I65" s="6"/>
    </row>
    <row r="66" spans="1:9" ht="12.75" customHeight="1" x14ac:dyDescent="0.25">
      <c r="A66" s="6"/>
      <c r="B66" s="6">
        <v>64</v>
      </c>
      <c r="C66" s="12" t="str">
        <f t="shared" si="1"/>
        <v>TAN-064</v>
      </c>
      <c r="D66" s="46" t="s">
        <v>73</v>
      </c>
      <c r="E66" s="12" t="s">
        <v>74</v>
      </c>
      <c r="F66" s="12">
        <v>10</v>
      </c>
      <c r="G66" s="12" t="str">
        <f>IFERROR(VLOOKUP(F66,Setup!B:C,2,FALSE),"")</f>
        <v>10mbps</v>
      </c>
      <c r="H66" s="13">
        <f>IFERROR(VLOOKUP(G66,Setup!C:D,2,FALSE),"")</f>
        <v>100000</v>
      </c>
      <c r="I66" s="6"/>
    </row>
    <row r="67" spans="1:9" ht="12.75" customHeight="1" x14ac:dyDescent="0.25">
      <c r="A67" s="6"/>
      <c r="B67" s="6">
        <v>65</v>
      </c>
      <c r="C67" s="12" t="str">
        <f t="shared" si="1"/>
        <v>TAN-065</v>
      </c>
      <c r="D67" s="46" t="s">
        <v>75</v>
      </c>
      <c r="E67" s="12" t="s">
        <v>74</v>
      </c>
      <c r="F67" s="12">
        <v>10</v>
      </c>
      <c r="G67" s="12" t="str">
        <f>IFERROR(VLOOKUP(F67,Setup!B:C,2,FALSE),"")</f>
        <v>10mbps</v>
      </c>
      <c r="H67" s="13">
        <f>IFERROR(VLOOKUP(G67,Setup!C:D,2,FALSE),"")</f>
        <v>100000</v>
      </c>
      <c r="I67" s="6"/>
    </row>
    <row r="68" spans="1:9" ht="12.75" customHeight="1" x14ac:dyDescent="0.25">
      <c r="A68" s="6"/>
      <c r="B68" s="6">
        <v>66</v>
      </c>
      <c r="C68" s="12" t="str">
        <f t="shared" si="1"/>
        <v>TAN-066</v>
      </c>
      <c r="D68" s="46" t="s">
        <v>76</v>
      </c>
      <c r="E68" s="12" t="s">
        <v>74</v>
      </c>
      <c r="F68" s="12">
        <v>10</v>
      </c>
      <c r="G68" s="12" t="str">
        <f>IFERROR(VLOOKUP(F68,Setup!B:C,2,FALSE),"")</f>
        <v>10mbps</v>
      </c>
      <c r="H68" s="13">
        <f>IFERROR(VLOOKUP(G68,Setup!C:D,2,FALSE),"")</f>
        <v>100000</v>
      </c>
      <c r="I68" s="6"/>
    </row>
    <row r="69" spans="1:9" ht="12.75" customHeight="1" x14ac:dyDescent="0.25">
      <c r="A69" s="6"/>
      <c r="B69" s="6">
        <v>67</v>
      </c>
      <c r="C69" s="12" t="str">
        <f t="shared" ref="C69:C134" si="2">IF(D69="","",LEFT(SUBSTITUTE(UPPER(E69)," ",""),3)&amp;"-"&amp;TEXT(B69,"000"))</f>
        <v>TAN-067</v>
      </c>
      <c r="D69" s="46" t="s">
        <v>77</v>
      </c>
      <c r="E69" s="12" t="s">
        <v>74</v>
      </c>
      <c r="F69" s="12">
        <v>10</v>
      </c>
      <c r="G69" s="12" t="str">
        <f>IFERROR(VLOOKUP(F69,Setup!B:C,2,FALSE),"")</f>
        <v>10mbps</v>
      </c>
      <c r="H69" s="13">
        <f>IFERROR(VLOOKUP(G69,Setup!C:D,2,FALSE),"")</f>
        <v>100000</v>
      </c>
      <c r="I69" s="6"/>
    </row>
    <row r="70" spans="1:9" ht="12.75" customHeight="1" x14ac:dyDescent="0.25">
      <c r="A70" s="6"/>
      <c r="B70" s="6">
        <v>68</v>
      </c>
      <c r="C70" s="12" t="str">
        <f t="shared" si="2"/>
        <v>TAN-068</v>
      </c>
      <c r="D70" s="46" t="s">
        <v>78</v>
      </c>
      <c r="E70" s="12" t="s">
        <v>74</v>
      </c>
      <c r="F70" s="12">
        <v>10</v>
      </c>
      <c r="G70" s="12" t="str">
        <f>IFERROR(VLOOKUP(F70,Setup!B:C,2,FALSE),"")</f>
        <v>10mbps</v>
      </c>
      <c r="H70" s="13">
        <f>IFERROR(VLOOKUP(G70,Setup!C:D,2,FALSE),"")</f>
        <v>100000</v>
      </c>
      <c r="I70" s="6"/>
    </row>
    <row r="71" spans="1:9" ht="12.75" customHeight="1" x14ac:dyDescent="0.25">
      <c r="A71" s="6"/>
      <c r="B71" s="6">
        <v>69</v>
      </c>
      <c r="C71" s="12" t="str">
        <f t="shared" si="2"/>
        <v>TAN-069</v>
      </c>
      <c r="D71" s="46" t="s">
        <v>79</v>
      </c>
      <c r="E71" s="12" t="s">
        <v>74</v>
      </c>
      <c r="F71" s="12">
        <v>10</v>
      </c>
      <c r="G71" s="12" t="str">
        <f>IFERROR(VLOOKUP(F71,Setup!B:C,2,FALSE),"")</f>
        <v>10mbps</v>
      </c>
      <c r="H71" s="13">
        <f>IFERROR(VLOOKUP(G71,Setup!C:D,2,FALSE),"")</f>
        <v>100000</v>
      </c>
      <c r="I71" s="6"/>
    </row>
    <row r="72" spans="1:9" ht="12.75" customHeight="1" x14ac:dyDescent="0.25">
      <c r="A72" s="6"/>
      <c r="B72" s="6">
        <v>70</v>
      </c>
      <c r="C72" s="12" t="str">
        <f t="shared" si="2"/>
        <v>TAN-070</v>
      </c>
      <c r="D72" s="46" t="s">
        <v>551</v>
      </c>
      <c r="E72" s="12" t="s">
        <v>74</v>
      </c>
      <c r="F72" s="12">
        <v>10</v>
      </c>
      <c r="G72" s="12" t="str">
        <f>IFERROR(VLOOKUP(F72,Setup!B:C,2,FALSE),"")</f>
        <v>10mbps</v>
      </c>
      <c r="H72" s="13">
        <f>IFERROR(VLOOKUP(G72,Setup!C:D,2,FALSE),"")</f>
        <v>100000</v>
      </c>
      <c r="I72" s="6"/>
    </row>
    <row r="73" spans="1:9" ht="12.75" customHeight="1" x14ac:dyDescent="0.25">
      <c r="A73" s="6"/>
      <c r="B73" s="6">
        <v>71</v>
      </c>
      <c r="C73" s="12" t="str">
        <f t="shared" si="2"/>
        <v>TAN-071</v>
      </c>
      <c r="D73" s="46" t="s">
        <v>80</v>
      </c>
      <c r="E73" s="12" t="s">
        <v>74</v>
      </c>
      <c r="F73" s="12">
        <v>10</v>
      </c>
      <c r="G73" s="12" t="str">
        <f>IFERROR(VLOOKUP(F73,Setup!B:C,2,FALSE),"")</f>
        <v>10mbps</v>
      </c>
      <c r="H73" s="13">
        <f>IFERROR(VLOOKUP(G73,Setup!C:D,2,FALSE),"")</f>
        <v>100000</v>
      </c>
      <c r="I73" s="6"/>
    </row>
    <row r="74" spans="1:9" ht="12.75" customHeight="1" x14ac:dyDescent="0.25">
      <c r="A74" s="6"/>
      <c r="B74" s="6">
        <v>72</v>
      </c>
      <c r="C74" s="12" t="str">
        <f t="shared" si="2"/>
        <v>TAN-072</v>
      </c>
      <c r="D74" s="46" t="s">
        <v>81</v>
      </c>
      <c r="E74" s="12" t="s">
        <v>74</v>
      </c>
      <c r="F74" s="12">
        <v>10</v>
      </c>
      <c r="G74" s="12" t="str">
        <f>IFERROR(VLOOKUP(F74,Setup!B:C,2,FALSE),"")</f>
        <v>10mbps</v>
      </c>
      <c r="H74" s="13">
        <f>IFERROR(VLOOKUP(G74,Setup!C:D,2,FALSE),"")</f>
        <v>100000</v>
      </c>
      <c r="I74" s="6"/>
    </row>
    <row r="75" spans="1:9" ht="12.75" customHeight="1" x14ac:dyDescent="0.25">
      <c r="A75" s="6"/>
      <c r="B75" s="6">
        <v>73</v>
      </c>
      <c r="C75" s="12" t="str">
        <f t="shared" si="2"/>
        <v>TAN-073</v>
      </c>
      <c r="D75" s="46" t="s">
        <v>82</v>
      </c>
      <c r="E75" s="12" t="s">
        <v>74</v>
      </c>
      <c r="F75" s="12">
        <v>10</v>
      </c>
      <c r="G75" s="12" t="str">
        <f>IFERROR(VLOOKUP(F75,Setup!B:C,2,FALSE),"")</f>
        <v>10mbps</v>
      </c>
      <c r="H75" s="13">
        <f>IFERROR(VLOOKUP(G75,Setup!C:D,2,FALSE),"")</f>
        <v>100000</v>
      </c>
      <c r="I75" s="6"/>
    </row>
    <row r="76" spans="1:9" ht="12.75" customHeight="1" x14ac:dyDescent="0.25">
      <c r="A76" s="6"/>
      <c r="B76" s="6">
        <v>74</v>
      </c>
      <c r="C76" s="12" t="str">
        <f t="shared" si="2"/>
        <v>TAN-074</v>
      </c>
      <c r="D76" s="46" t="s">
        <v>83</v>
      </c>
      <c r="E76" s="12" t="s">
        <v>74</v>
      </c>
      <c r="F76" s="12">
        <v>10</v>
      </c>
      <c r="G76" s="12" t="str">
        <f>IFERROR(VLOOKUP(F76,Setup!B:C,2,FALSE),"")</f>
        <v>10mbps</v>
      </c>
      <c r="H76" s="13">
        <f>IFERROR(VLOOKUP(G76,Setup!C:D,2,FALSE),"")</f>
        <v>100000</v>
      </c>
      <c r="I76" s="6"/>
    </row>
    <row r="77" spans="1:9" ht="12.75" customHeight="1" x14ac:dyDescent="0.25">
      <c r="A77" s="6"/>
      <c r="B77" s="6">
        <v>75</v>
      </c>
      <c r="C77" s="12" t="str">
        <f t="shared" si="2"/>
        <v>TAN-075</v>
      </c>
      <c r="D77" s="46" t="s">
        <v>84</v>
      </c>
      <c r="E77" s="12" t="s">
        <v>74</v>
      </c>
      <c r="F77" s="12">
        <v>10</v>
      </c>
      <c r="G77" s="12" t="str">
        <f>IFERROR(VLOOKUP(F77,Setup!B:C,2,FALSE),"")</f>
        <v>10mbps</v>
      </c>
      <c r="H77" s="13">
        <f>IFERROR(VLOOKUP(G77,Setup!C:D,2,FALSE),"")</f>
        <v>100000</v>
      </c>
      <c r="I77" s="6"/>
    </row>
    <row r="78" spans="1:9" ht="12.75" customHeight="1" x14ac:dyDescent="0.25">
      <c r="A78" s="6"/>
      <c r="B78" s="6">
        <v>76</v>
      </c>
      <c r="C78" s="12" t="str">
        <f t="shared" si="2"/>
        <v>TAN-076</v>
      </c>
      <c r="D78" s="46" t="s">
        <v>85</v>
      </c>
      <c r="E78" s="12" t="s">
        <v>74</v>
      </c>
      <c r="F78" s="12">
        <v>10</v>
      </c>
      <c r="G78" s="12" t="str">
        <f>IFERROR(VLOOKUP(F78,Setup!B:C,2,FALSE),"")</f>
        <v>10mbps</v>
      </c>
      <c r="H78" s="13">
        <f>IFERROR(VLOOKUP(G78,Setup!C:D,2,FALSE),"")</f>
        <v>100000</v>
      </c>
      <c r="I78" s="6"/>
    </row>
    <row r="79" spans="1:9" ht="12.75" customHeight="1" x14ac:dyDescent="0.25">
      <c r="A79" s="6"/>
      <c r="B79" s="6">
        <v>77</v>
      </c>
      <c r="C79" s="12" t="str">
        <f t="shared" si="2"/>
        <v>TAN-077</v>
      </c>
      <c r="D79" s="46" t="s">
        <v>86</v>
      </c>
      <c r="E79" s="12" t="s">
        <v>74</v>
      </c>
      <c r="F79" s="12">
        <v>10</v>
      </c>
      <c r="G79" s="12" t="str">
        <f>IFERROR(VLOOKUP(F79,Setup!B:C,2,FALSE),"")</f>
        <v>10mbps</v>
      </c>
      <c r="H79" s="13">
        <f>IFERROR(VLOOKUP(G79,Setup!C:D,2,FALSE),"")</f>
        <v>100000</v>
      </c>
      <c r="I79" s="6"/>
    </row>
    <row r="80" spans="1:9" ht="12.75" customHeight="1" x14ac:dyDescent="0.25">
      <c r="A80" s="6"/>
      <c r="B80" s="6">
        <v>78</v>
      </c>
      <c r="C80" s="12" t="str">
        <f t="shared" si="2"/>
        <v>TAN-078</v>
      </c>
      <c r="D80" s="46" t="s">
        <v>87</v>
      </c>
      <c r="E80" s="12" t="s">
        <v>74</v>
      </c>
      <c r="F80" s="12">
        <v>10</v>
      </c>
      <c r="G80" s="12" t="str">
        <f>IFERROR(VLOOKUP(F80,Setup!B:C,2,FALSE),"")</f>
        <v>10mbps</v>
      </c>
      <c r="H80" s="13">
        <f>IFERROR(VLOOKUP(G80,Setup!C:D,2,FALSE),"")</f>
        <v>100000</v>
      </c>
      <c r="I80" s="6"/>
    </row>
    <row r="81" spans="1:9" ht="12.75" customHeight="1" x14ac:dyDescent="0.25">
      <c r="A81" s="6"/>
      <c r="B81" s="6">
        <v>79</v>
      </c>
      <c r="C81" s="12" t="str">
        <f t="shared" si="2"/>
        <v>TAN-079</v>
      </c>
      <c r="D81" s="46" t="s">
        <v>88</v>
      </c>
      <c r="E81" s="12" t="s">
        <v>74</v>
      </c>
      <c r="F81" s="12">
        <v>10</v>
      </c>
      <c r="G81" s="12" t="str">
        <f>IFERROR(VLOOKUP(F81,Setup!B:C,2,FALSE),"")</f>
        <v>10mbps</v>
      </c>
      <c r="H81" s="13">
        <f>IFERROR(VLOOKUP(G81,Setup!C:D,2,FALSE),"")</f>
        <v>100000</v>
      </c>
      <c r="I81" s="6"/>
    </row>
    <row r="82" spans="1:9" ht="12.75" customHeight="1" x14ac:dyDescent="0.25">
      <c r="A82" s="6"/>
      <c r="B82" s="6">
        <v>80</v>
      </c>
      <c r="C82" s="12" t="str">
        <f t="shared" si="2"/>
        <v>TAN-080</v>
      </c>
      <c r="D82" s="46" t="s">
        <v>89</v>
      </c>
      <c r="E82" s="12" t="s">
        <v>74</v>
      </c>
      <c r="F82" s="12">
        <v>10</v>
      </c>
      <c r="G82" s="12" t="str">
        <f>IFERROR(VLOOKUP(F82,Setup!B:C,2,FALSE),"")</f>
        <v>10mbps</v>
      </c>
      <c r="H82" s="13">
        <f>IFERROR(VLOOKUP(G82,Setup!C:D,2,FALSE),"")</f>
        <v>100000</v>
      </c>
      <c r="I82" s="6"/>
    </row>
    <row r="83" spans="1:9" ht="12.75" customHeight="1" x14ac:dyDescent="0.25">
      <c r="A83" s="6"/>
      <c r="B83" s="6">
        <v>81</v>
      </c>
      <c r="C83" s="12" t="str">
        <f t="shared" si="2"/>
        <v>TAN-081</v>
      </c>
      <c r="D83" s="46" t="s">
        <v>90</v>
      </c>
      <c r="E83" s="12" t="s">
        <v>74</v>
      </c>
      <c r="F83" s="12">
        <v>10</v>
      </c>
      <c r="G83" s="12" t="str">
        <f>IFERROR(VLOOKUP(F83,Setup!B:C,2,FALSE),"")</f>
        <v>10mbps</v>
      </c>
      <c r="H83" s="13">
        <f>IFERROR(VLOOKUP(G83,Setup!C:D,2,FALSE),"")</f>
        <v>100000</v>
      </c>
      <c r="I83" s="6"/>
    </row>
    <row r="84" spans="1:9" ht="12.75" customHeight="1" x14ac:dyDescent="0.25">
      <c r="A84" s="6"/>
      <c r="B84" s="6">
        <v>82</v>
      </c>
      <c r="C84" s="12" t="str">
        <f t="shared" si="2"/>
        <v>TAN-082</v>
      </c>
      <c r="D84" s="46" t="s">
        <v>91</v>
      </c>
      <c r="E84" s="12" t="s">
        <v>74</v>
      </c>
      <c r="F84" s="12">
        <v>10</v>
      </c>
      <c r="G84" s="12" t="str">
        <f>IFERROR(VLOOKUP(F84,Setup!B:C,2,FALSE),"")</f>
        <v>10mbps</v>
      </c>
      <c r="H84" s="13">
        <f>IFERROR(VLOOKUP(G84,Setup!C:D,2,FALSE),"")</f>
        <v>100000</v>
      </c>
      <c r="I84" s="6"/>
    </row>
    <row r="85" spans="1:9" ht="12.75" customHeight="1" x14ac:dyDescent="0.25">
      <c r="A85" s="6"/>
      <c r="B85" s="6">
        <v>83</v>
      </c>
      <c r="C85" s="12" t="str">
        <f t="shared" si="2"/>
        <v>TAN-083</v>
      </c>
      <c r="D85" s="46" t="s">
        <v>92</v>
      </c>
      <c r="E85" s="12" t="s">
        <v>74</v>
      </c>
      <c r="F85" s="12">
        <v>10</v>
      </c>
      <c r="G85" s="12" t="str">
        <f>IFERROR(VLOOKUP(F85,Setup!B:C,2,FALSE),"")</f>
        <v>10mbps</v>
      </c>
      <c r="H85" s="13">
        <f>IFERROR(VLOOKUP(G85,Setup!C:D,2,FALSE),"")</f>
        <v>100000</v>
      </c>
      <c r="I85" s="6"/>
    </row>
    <row r="86" spans="1:9" ht="12.75" customHeight="1" x14ac:dyDescent="0.25">
      <c r="A86" s="6"/>
      <c r="B86" s="6">
        <v>84</v>
      </c>
      <c r="C86" s="12" t="str">
        <f t="shared" si="2"/>
        <v>TAN-084</v>
      </c>
      <c r="D86" s="46" t="s">
        <v>93</v>
      </c>
      <c r="E86" s="12" t="s">
        <v>74</v>
      </c>
      <c r="F86" s="12">
        <v>10</v>
      </c>
      <c r="G86" s="12" t="str">
        <f>IFERROR(VLOOKUP(F86,Setup!B:C,2,FALSE),"")</f>
        <v>10mbps</v>
      </c>
      <c r="H86" s="13">
        <f>IFERROR(VLOOKUP(G86,Setup!C:D,2,FALSE),"")</f>
        <v>100000</v>
      </c>
      <c r="I86" s="6"/>
    </row>
    <row r="87" spans="1:9" ht="12.75" customHeight="1" x14ac:dyDescent="0.25">
      <c r="A87" s="6"/>
      <c r="B87" s="6">
        <v>85</v>
      </c>
      <c r="C87" s="12" t="str">
        <f t="shared" si="2"/>
        <v>TAN-085</v>
      </c>
      <c r="D87" s="46" t="s">
        <v>94</v>
      </c>
      <c r="E87" s="12" t="s">
        <v>74</v>
      </c>
      <c r="F87" s="12">
        <v>10</v>
      </c>
      <c r="G87" s="12" t="str">
        <f>IFERROR(VLOOKUP(F87,Setup!B:C,2,FALSE),"")</f>
        <v>10mbps</v>
      </c>
      <c r="H87" s="13">
        <f>IFERROR(VLOOKUP(G87,Setup!C:D,2,FALSE),"")</f>
        <v>100000</v>
      </c>
      <c r="I87" s="6"/>
    </row>
    <row r="88" spans="1:9" ht="12.75" customHeight="1" x14ac:dyDescent="0.25">
      <c r="A88" s="6"/>
      <c r="B88" s="6">
        <v>86</v>
      </c>
      <c r="C88" s="12" t="str">
        <f t="shared" si="2"/>
        <v>TAN-086</v>
      </c>
      <c r="D88" s="46" t="s">
        <v>95</v>
      </c>
      <c r="E88" s="12" t="s">
        <v>74</v>
      </c>
      <c r="F88" s="12">
        <v>10</v>
      </c>
      <c r="G88" s="12" t="str">
        <f>IFERROR(VLOOKUP(F88,Setup!B:C,2,FALSE),"")</f>
        <v>10mbps</v>
      </c>
      <c r="H88" s="13">
        <f>IFERROR(VLOOKUP(G88,Setup!C:D,2,FALSE),"")</f>
        <v>100000</v>
      </c>
      <c r="I88" s="6"/>
    </row>
    <row r="89" spans="1:9" ht="12.75" customHeight="1" x14ac:dyDescent="0.25">
      <c r="A89" s="6"/>
      <c r="B89" s="6">
        <v>87</v>
      </c>
      <c r="C89" s="12" t="str">
        <f t="shared" si="2"/>
        <v>TAN-087</v>
      </c>
      <c r="D89" s="46" t="s">
        <v>96</v>
      </c>
      <c r="E89" s="12" t="s">
        <v>74</v>
      </c>
      <c r="F89" s="12">
        <v>10</v>
      </c>
      <c r="G89" s="12" t="str">
        <f>IFERROR(VLOOKUP(F89,Setup!B:C,2,FALSE),"")</f>
        <v>10mbps</v>
      </c>
      <c r="H89" s="13">
        <f>IFERROR(VLOOKUP(G89,Setup!C:D,2,FALSE),"")</f>
        <v>100000</v>
      </c>
      <c r="I89" s="6"/>
    </row>
    <row r="90" spans="1:9" ht="12.75" customHeight="1" x14ac:dyDescent="0.25">
      <c r="A90" s="6"/>
      <c r="B90" s="6">
        <v>88</v>
      </c>
      <c r="C90" s="12" t="str">
        <f t="shared" si="2"/>
        <v>TAN-088</v>
      </c>
      <c r="D90" s="46" t="s">
        <v>97</v>
      </c>
      <c r="E90" s="12" t="s">
        <v>74</v>
      </c>
      <c r="F90" s="12">
        <v>10</v>
      </c>
      <c r="G90" s="12" t="str">
        <f>IFERROR(VLOOKUP(F90,Setup!B:C,2,FALSE),"")</f>
        <v>10mbps</v>
      </c>
      <c r="H90" s="13">
        <f>IFERROR(VLOOKUP(G90,Setup!C:D,2,FALSE),"")</f>
        <v>100000</v>
      </c>
      <c r="I90" s="6"/>
    </row>
    <row r="91" spans="1:9" ht="12.75" customHeight="1" x14ac:dyDescent="0.25">
      <c r="A91" s="6"/>
      <c r="B91" s="6">
        <v>89</v>
      </c>
      <c r="C91" s="12" t="str">
        <f t="shared" si="2"/>
        <v>TAN-089</v>
      </c>
      <c r="D91" s="46" t="s">
        <v>98</v>
      </c>
      <c r="E91" s="12" t="s">
        <v>74</v>
      </c>
      <c r="F91" s="12">
        <v>10</v>
      </c>
      <c r="G91" s="12" t="str">
        <f>IFERROR(VLOOKUP(F91,Setup!B:C,2,FALSE),"")</f>
        <v>10mbps</v>
      </c>
      <c r="H91" s="13">
        <f>IFERROR(VLOOKUP(G91,Setup!C:D,2,FALSE),"")</f>
        <v>100000</v>
      </c>
      <c r="I91" s="6"/>
    </row>
    <row r="92" spans="1:9" ht="12.75" customHeight="1" x14ac:dyDescent="0.25">
      <c r="A92" s="6"/>
      <c r="B92" s="6">
        <v>90</v>
      </c>
      <c r="C92" s="12" t="str">
        <f t="shared" si="2"/>
        <v>TAN-090</v>
      </c>
      <c r="D92" s="46" t="s">
        <v>99</v>
      </c>
      <c r="E92" s="12" t="s">
        <v>74</v>
      </c>
      <c r="F92" s="12">
        <v>10</v>
      </c>
      <c r="G92" s="12" t="str">
        <f>IFERROR(VLOOKUP(F92,Setup!B:C,2,FALSE),"")</f>
        <v>10mbps</v>
      </c>
      <c r="H92" s="13">
        <f>IFERROR(VLOOKUP(G92,Setup!C:D,2,FALSE),"")</f>
        <v>100000</v>
      </c>
      <c r="I92" s="6"/>
    </row>
    <row r="93" spans="1:9" ht="12.75" customHeight="1" x14ac:dyDescent="0.25">
      <c r="A93" s="6"/>
      <c r="B93" s="6">
        <v>91</v>
      </c>
      <c r="C93" s="12" t="str">
        <f t="shared" si="2"/>
        <v>TAN-091</v>
      </c>
      <c r="D93" s="46" t="s">
        <v>100</v>
      </c>
      <c r="E93" s="12" t="s">
        <v>74</v>
      </c>
      <c r="F93" s="12">
        <v>10</v>
      </c>
      <c r="G93" s="12" t="str">
        <f>IFERROR(VLOOKUP(F93,Setup!B:C,2,FALSE),"")</f>
        <v>10mbps</v>
      </c>
      <c r="H93" s="13">
        <f>IFERROR(VLOOKUP(G93,Setup!C:D,2,FALSE),"")</f>
        <v>100000</v>
      </c>
      <c r="I93" s="6"/>
    </row>
    <row r="94" spans="1:9" ht="12.75" customHeight="1" x14ac:dyDescent="0.25">
      <c r="A94" s="6"/>
      <c r="B94" s="6">
        <v>92</v>
      </c>
      <c r="C94" s="12" t="str">
        <f t="shared" si="2"/>
        <v>TAN-092</v>
      </c>
      <c r="D94" s="46" t="s">
        <v>101</v>
      </c>
      <c r="E94" s="12" t="s">
        <v>74</v>
      </c>
      <c r="F94" s="12">
        <v>10</v>
      </c>
      <c r="G94" s="12" t="str">
        <f>IFERROR(VLOOKUP(F94,Setup!B:C,2,FALSE),"")</f>
        <v>10mbps</v>
      </c>
      <c r="H94" s="13">
        <f>IFERROR(VLOOKUP(G94,Setup!C:D,2,FALSE),"")</f>
        <v>100000</v>
      </c>
      <c r="I94" s="6"/>
    </row>
    <row r="95" spans="1:9" ht="12.75" customHeight="1" x14ac:dyDescent="0.25">
      <c r="A95" s="6"/>
      <c r="B95" s="6">
        <v>93</v>
      </c>
      <c r="C95" s="12" t="str">
        <f t="shared" si="2"/>
        <v>TAN-093</v>
      </c>
      <c r="D95" s="46" t="s">
        <v>102</v>
      </c>
      <c r="E95" s="12" t="s">
        <v>74</v>
      </c>
      <c r="F95" s="12">
        <v>10</v>
      </c>
      <c r="G95" s="12" t="str">
        <f>IFERROR(VLOOKUP(F95,Setup!B:C,2,FALSE),"")</f>
        <v>10mbps</v>
      </c>
      <c r="H95" s="13">
        <f>IFERROR(VLOOKUP(G95,Setup!C:D,2,FALSE),"")</f>
        <v>100000</v>
      </c>
      <c r="I95" s="6"/>
    </row>
    <row r="96" spans="1:9" ht="12.75" customHeight="1" x14ac:dyDescent="0.25">
      <c r="A96" s="6"/>
      <c r="B96" s="6">
        <v>94</v>
      </c>
      <c r="C96" s="12" t="str">
        <f t="shared" si="2"/>
        <v>TAN-094</v>
      </c>
      <c r="D96" s="46" t="s">
        <v>103</v>
      </c>
      <c r="E96" s="12" t="s">
        <v>74</v>
      </c>
      <c r="F96" s="12">
        <v>10</v>
      </c>
      <c r="G96" s="12" t="str">
        <f>IFERROR(VLOOKUP(F96,Setup!B:C,2,FALSE),"")</f>
        <v>10mbps</v>
      </c>
      <c r="H96" s="13">
        <f>IFERROR(VLOOKUP(G96,Setup!C:D,2,FALSE),"")</f>
        <v>100000</v>
      </c>
      <c r="I96" s="6"/>
    </row>
    <row r="97" spans="1:9" ht="12.75" customHeight="1" x14ac:dyDescent="0.25">
      <c r="A97" s="6"/>
      <c r="B97" s="6">
        <v>95</v>
      </c>
      <c r="C97" s="12" t="str">
        <f t="shared" si="2"/>
        <v>TAN-095</v>
      </c>
      <c r="D97" s="46" t="s">
        <v>104</v>
      </c>
      <c r="E97" s="12" t="s">
        <v>74</v>
      </c>
      <c r="F97" s="12">
        <v>10</v>
      </c>
      <c r="G97" s="12" t="str">
        <f>IFERROR(VLOOKUP(F97,Setup!B:C,2,FALSE),"")</f>
        <v>10mbps</v>
      </c>
      <c r="H97" s="13">
        <f>IFERROR(VLOOKUP(G97,Setup!C:D,2,FALSE),"")</f>
        <v>100000</v>
      </c>
      <c r="I97" s="6"/>
    </row>
    <row r="98" spans="1:9" ht="12.75" customHeight="1" x14ac:dyDescent="0.25">
      <c r="A98" s="6"/>
      <c r="B98" s="6">
        <v>96</v>
      </c>
      <c r="C98" s="12" t="str">
        <f t="shared" si="2"/>
        <v>TAN-096</v>
      </c>
      <c r="D98" s="46" t="s">
        <v>105</v>
      </c>
      <c r="E98" s="12" t="s">
        <v>74</v>
      </c>
      <c r="F98" s="12">
        <v>10</v>
      </c>
      <c r="G98" s="12" t="str">
        <f>IFERROR(VLOOKUP(F98,Setup!B:C,2,FALSE),"")</f>
        <v>10mbps</v>
      </c>
      <c r="H98" s="13">
        <f>IFERROR(VLOOKUP(G98,Setup!C:D,2,FALSE),"")</f>
        <v>100000</v>
      </c>
      <c r="I98" s="6"/>
    </row>
    <row r="99" spans="1:9" ht="12.75" customHeight="1" x14ac:dyDescent="0.25">
      <c r="A99" s="6"/>
      <c r="B99" s="6">
        <v>97</v>
      </c>
      <c r="C99" s="12" t="str">
        <f>IF(D99="","",LEFT(SUBSTITUTE(UPPER(E99)," ",""),3)&amp;"-"&amp;TEXT(B99,"000"))</f>
        <v>TAN-097</v>
      </c>
      <c r="D99" s="46" t="s">
        <v>577</v>
      </c>
      <c r="E99" s="12" t="s">
        <v>74</v>
      </c>
      <c r="F99" s="12">
        <v>10</v>
      </c>
      <c r="G99" s="12" t="str">
        <f>IFERROR(VLOOKUP(F99,Setup!B:C,2,FALSE),"")</f>
        <v>10mbps</v>
      </c>
      <c r="H99" s="13">
        <f>IFERROR(VLOOKUP(G99,Setup!C:D,2,FALSE),"")</f>
        <v>100000</v>
      </c>
      <c r="I99" s="6"/>
    </row>
    <row r="100" spans="1:9" ht="12.75" customHeight="1" x14ac:dyDescent="0.25">
      <c r="A100" s="6"/>
      <c r="B100" s="6">
        <v>98</v>
      </c>
      <c r="C100" s="12" t="str">
        <f t="shared" si="2"/>
        <v>TAN-098</v>
      </c>
      <c r="D100" s="46" t="s">
        <v>558</v>
      </c>
      <c r="E100" s="12" t="s">
        <v>74</v>
      </c>
      <c r="F100" s="12">
        <v>10</v>
      </c>
      <c r="G100" s="12" t="str">
        <f>IFERROR(VLOOKUP(F100,Setup!B:C,2,FALSE),"")</f>
        <v>10mbps</v>
      </c>
      <c r="H100" s="13">
        <f>IFERROR(VLOOKUP(G100,Setup!C:D,2,FALSE),"")</f>
        <v>100000</v>
      </c>
      <c r="I100" s="6"/>
    </row>
    <row r="101" spans="1:9" ht="12.75" customHeight="1" x14ac:dyDescent="0.25">
      <c r="A101" s="6"/>
      <c r="B101" s="6">
        <v>99</v>
      </c>
      <c r="C101" s="12" t="str">
        <f t="shared" si="2"/>
        <v>TAN-099</v>
      </c>
      <c r="D101" s="46" t="s">
        <v>106</v>
      </c>
      <c r="E101" s="12" t="s">
        <v>74</v>
      </c>
      <c r="F101" s="12">
        <v>10</v>
      </c>
      <c r="G101" s="12" t="str">
        <f>IFERROR(VLOOKUP(F101,Setup!B:C,2,FALSE),"")</f>
        <v>10mbps</v>
      </c>
      <c r="H101" s="13">
        <f>IFERROR(VLOOKUP(G101,Setup!C:D,2,FALSE),"")</f>
        <v>100000</v>
      </c>
      <c r="I101" s="6"/>
    </row>
    <row r="102" spans="1:9" ht="12.75" customHeight="1" x14ac:dyDescent="0.25">
      <c r="A102" s="6"/>
      <c r="B102" s="6">
        <v>100</v>
      </c>
      <c r="C102" s="12" t="str">
        <f t="shared" si="2"/>
        <v>TAN-100</v>
      </c>
      <c r="D102" s="46" t="s">
        <v>107</v>
      </c>
      <c r="E102" s="12" t="s">
        <v>74</v>
      </c>
      <c r="F102" s="12">
        <v>10</v>
      </c>
      <c r="G102" s="12" t="str">
        <f>IFERROR(VLOOKUP(F102,Setup!B:C,2,FALSE),"")</f>
        <v>10mbps</v>
      </c>
      <c r="H102" s="13">
        <f>IFERROR(VLOOKUP(G102,Setup!C:D,2,FALSE),"")</f>
        <v>100000</v>
      </c>
      <c r="I102" s="6"/>
    </row>
    <row r="103" spans="1:9" ht="12.75" customHeight="1" x14ac:dyDescent="0.25">
      <c r="A103" s="6"/>
      <c r="B103" s="6">
        <v>101</v>
      </c>
      <c r="C103" s="12" t="str">
        <f t="shared" si="2"/>
        <v>TAN-101</v>
      </c>
      <c r="D103" s="46" t="s">
        <v>108</v>
      </c>
      <c r="E103" s="12" t="s">
        <v>74</v>
      </c>
      <c r="F103" s="12">
        <v>10</v>
      </c>
      <c r="G103" s="12" t="str">
        <f>IFERROR(VLOOKUP(F103,Setup!B:C,2,FALSE),"")</f>
        <v>10mbps</v>
      </c>
      <c r="H103" s="13">
        <f>IFERROR(VLOOKUP(G103,Setup!C:D,2,FALSE),"")</f>
        <v>100000</v>
      </c>
      <c r="I103" s="6"/>
    </row>
    <row r="104" spans="1:9" ht="12.75" customHeight="1" x14ac:dyDescent="0.25">
      <c r="A104" s="6"/>
      <c r="B104" s="6">
        <v>102</v>
      </c>
      <c r="C104" s="12" t="str">
        <f t="shared" si="2"/>
        <v>TAN-102</v>
      </c>
      <c r="D104" s="46" t="s">
        <v>109</v>
      </c>
      <c r="E104" s="12" t="s">
        <v>74</v>
      </c>
      <c r="F104" s="12">
        <v>10</v>
      </c>
      <c r="G104" s="12" t="str">
        <f>IFERROR(VLOOKUP(F104,Setup!B:C,2,FALSE),"")</f>
        <v>10mbps</v>
      </c>
      <c r="H104" s="13">
        <f>IFERROR(VLOOKUP(G104,Setup!C:D,2,FALSE),"")</f>
        <v>100000</v>
      </c>
      <c r="I104" s="6"/>
    </row>
    <row r="105" spans="1:9" ht="12.75" customHeight="1" x14ac:dyDescent="0.25">
      <c r="A105" s="6"/>
      <c r="B105" s="6">
        <v>103</v>
      </c>
      <c r="C105" s="12" t="str">
        <f t="shared" si="2"/>
        <v>TAN-103</v>
      </c>
      <c r="D105" s="46" t="s">
        <v>110</v>
      </c>
      <c r="E105" s="12" t="s">
        <v>74</v>
      </c>
      <c r="F105" s="12">
        <v>10</v>
      </c>
      <c r="G105" s="12" t="str">
        <f>IFERROR(VLOOKUP(F105,Setup!B:C,2,FALSE),"")</f>
        <v>10mbps</v>
      </c>
      <c r="H105" s="13">
        <f>IFERROR(VLOOKUP(G105,Setup!C:D,2,FALSE),"")</f>
        <v>100000</v>
      </c>
      <c r="I105" s="6"/>
    </row>
    <row r="106" spans="1:9" ht="12.75" customHeight="1" x14ac:dyDescent="0.25">
      <c r="A106" s="6"/>
      <c r="B106" s="6">
        <v>104</v>
      </c>
      <c r="C106" s="12" t="str">
        <f t="shared" si="2"/>
        <v>TAN-104</v>
      </c>
      <c r="D106" s="46" t="s">
        <v>111</v>
      </c>
      <c r="E106" s="12" t="s">
        <v>74</v>
      </c>
      <c r="F106" s="12">
        <v>10</v>
      </c>
      <c r="G106" s="12" t="str">
        <f>IFERROR(VLOOKUP(F106,Setup!B:C,2,FALSE),"")</f>
        <v>10mbps</v>
      </c>
      <c r="H106" s="13">
        <f>IFERROR(VLOOKUP(G106,Setup!C:D,2,FALSE),"")</f>
        <v>100000</v>
      </c>
      <c r="I106" s="6"/>
    </row>
    <row r="107" spans="1:9" ht="12.75" customHeight="1" x14ac:dyDescent="0.25">
      <c r="A107" s="6"/>
      <c r="B107" s="6">
        <v>105</v>
      </c>
      <c r="C107" s="12" t="str">
        <f t="shared" si="2"/>
        <v>TAN-105</v>
      </c>
      <c r="D107" s="46" t="s">
        <v>112</v>
      </c>
      <c r="E107" s="12" t="s">
        <v>74</v>
      </c>
      <c r="F107" s="12">
        <v>10</v>
      </c>
      <c r="G107" s="12" t="str">
        <f>IFERROR(VLOOKUP(F107,Setup!B:C,2,FALSE),"")</f>
        <v>10mbps</v>
      </c>
      <c r="H107" s="13">
        <f>IFERROR(VLOOKUP(G107,Setup!C:D,2,FALSE),"")</f>
        <v>100000</v>
      </c>
      <c r="I107" s="6"/>
    </row>
    <row r="108" spans="1:9" ht="12.75" customHeight="1" x14ac:dyDescent="0.25">
      <c r="A108" s="6"/>
      <c r="B108" s="6">
        <v>106</v>
      </c>
      <c r="C108" s="12" t="str">
        <f t="shared" si="2"/>
        <v>JAM-106</v>
      </c>
      <c r="D108" s="46" t="s">
        <v>113</v>
      </c>
      <c r="E108" s="12" t="s">
        <v>114</v>
      </c>
      <c r="F108" s="12">
        <v>10</v>
      </c>
      <c r="G108" s="12" t="str">
        <f>IFERROR(VLOOKUP(F108,Setup!B:C,2,FALSE),"")</f>
        <v>10mbps</v>
      </c>
      <c r="H108" s="13">
        <f>IFERROR(VLOOKUP(G108,Setup!C:D,2,FALSE),"")</f>
        <v>100000</v>
      </c>
      <c r="I108" s="6"/>
    </row>
    <row r="109" spans="1:9" ht="12.75" customHeight="1" x14ac:dyDescent="0.25">
      <c r="A109" s="6"/>
      <c r="B109" s="6">
        <v>107</v>
      </c>
      <c r="C109" s="12" t="str">
        <f t="shared" si="2"/>
        <v>JAM-107</v>
      </c>
      <c r="D109" s="46" t="s">
        <v>115</v>
      </c>
      <c r="E109" s="12" t="s">
        <v>114</v>
      </c>
      <c r="F109" s="12">
        <v>10</v>
      </c>
      <c r="G109" s="12" t="str">
        <f>IFERROR(VLOOKUP(F109,Setup!B:C,2,FALSE),"")</f>
        <v>10mbps</v>
      </c>
      <c r="H109" s="13">
        <f>IFERROR(VLOOKUP(G109,Setup!C:D,2,FALSE),"")</f>
        <v>100000</v>
      </c>
      <c r="I109" s="6"/>
    </row>
    <row r="110" spans="1:9" ht="12.75" customHeight="1" x14ac:dyDescent="0.25">
      <c r="A110" s="6"/>
      <c r="B110" s="6">
        <v>108</v>
      </c>
      <c r="C110" s="12" t="str">
        <f t="shared" si="2"/>
        <v>JAM-108</v>
      </c>
      <c r="D110" s="46" t="s">
        <v>116</v>
      </c>
      <c r="E110" s="12" t="s">
        <v>114</v>
      </c>
      <c r="F110" s="12">
        <v>10</v>
      </c>
      <c r="G110" s="12" t="str">
        <f>IFERROR(VLOOKUP(F110,Setup!B:C,2,FALSE),"")</f>
        <v>10mbps</v>
      </c>
      <c r="H110" s="13">
        <f>IFERROR(VLOOKUP(G110,Setup!C:D,2,FALSE),"")</f>
        <v>100000</v>
      </c>
      <c r="I110" s="6"/>
    </row>
    <row r="111" spans="1:9" ht="12.75" customHeight="1" x14ac:dyDescent="0.25">
      <c r="A111" s="6"/>
      <c r="B111" s="6">
        <v>109</v>
      </c>
      <c r="C111" s="12" t="str">
        <f t="shared" si="2"/>
        <v>JAM-109</v>
      </c>
      <c r="D111" s="46" t="s">
        <v>117</v>
      </c>
      <c r="E111" s="12" t="s">
        <v>114</v>
      </c>
      <c r="F111" s="12">
        <v>10</v>
      </c>
      <c r="G111" s="12" t="str">
        <f>IFERROR(VLOOKUP(F111,Setup!B:C,2,FALSE),"")</f>
        <v>10mbps</v>
      </c>
      <c r="H111" s="13">
        <f>IFERROR(VLOOKUP(G111,Setup!C:D,2,FALSE),"")</f>
        <v>100000</v>
      </c>
      <c r="I111" s="6"/>
    </row>
    <row r="112" spans="1:9" ht="12.75" customHeight="1" x14ac:dyDescent="0.25">
      <c r="A112" s="6"/>
      <c r="B112" s="6">
        <v>110</v>
      </c>
      <c r="C112" s="12" t="str">
        <f t="shared" si="2"/>
        <v>JAM-110</v>
      </c>
      <c r="D112" s="46" t="s">
        <v>118</v>
      </c>
      <c r="E112" s="12" t="s">
        <v>114</v>
      </c>
      <c r="F112" s="12">
        <v>10</v>
      </c>
      <c r="G112" s="12" t="str">
        <f>IFERROR(VLOOKUP(F112,Setup!B:C,2,FALSE),"")</f>
        <v>10mbps</v>
      </c>
      <c r="H112" s="13">
        <f>IFERROR(VLOOKUP(G112,Setup!C:D,2,FALSE),"")</f>
        <v>100000</v>
      </c>
      <c r="I112" s="6"/>
    </row>
    <row r="113" spans="1:9" ht="12.75" customHeight="1" x14ac:dyDescent="0.25">
      <c r="A113" s="6"/>
      <c r="B113" s="6">
        <v>111</v>
      </c>
      <c r="C113" s="12" t="str">
        <f t="shared" si="2"/>
        <v>JAM-111</v>
      </c>
      <c r="D113" s="46" t="s">
        <v>119</v>
      </c>
      <c r="E113" s="12" t="s">
        <v>114</v>
      </c>
      <c r="F113" s="12">
        <v>10</v>
      </c>
      <c r="G113" s="12" t="str">
        <f>IFERROR(VLOOKUP(F113,Setup!B:C,2,FALSE),"")</f>
        <v>10mbps</v>
      </c>
      <c r="H113" s="13">
        <f>IFERROR(VLOOKUP(G113,Setup!C:D,2,FALSE),"")</f>
        <v>100000</v>
      </c>
      <c r="I113" s="6"/>
    </row>
    <row r="114" spans="1:9" ht="12.75" customHeight="1" x14ac:dyDescent="0.25">
      <c r="A114" s="6"/>
      <c r="B114" s="6">
        <v>112</v>
      </c>
      <c r="C114" s="12" t="str">
        <f t="shared" si="2"/>
        <v>JAM-112</v>
      </c>
      <c r="D114" s="46" t="s">
        <v>120</v>
      </c>
      <c r="E114" s="12" t="s">
        <v>114</v>
      </c>
      <c r="F114" s="12">
        <v>10</v>
      </c>
      <c r="G114" s="12" t="str">
        <f>IFERROR(VLOOKUP(F114,Setup!B:C,2,FALSE),"")</f>
        <v>10mbps</v>
      </c>
      <c r="H114" s="13">
        <f>IFERROR(VLOOKUP(G114,Setup!C:D,2,FALSE),"")</f>
        <v>100000</v>
      </c>
      <c r="I114" s="6"/>
    </row>
    <row r="115" spans="1:9" ht="12.75" customHeight="1" x14ac:dyDescent="0.25">
      <c r="A115" s="6"/>
      <c r="B115" s="6">
        <v>113</v>
      </c>
      <c r="C115" s="12" t="str">
        <f t="shared" si="2"/>
        <v>JAM-113</v>
      </c>
      <c r="D115" s="46" t="s">
        <v>121</v>
      </c>
      <c r="E115" s="12" t="s">
        <v>114</v>
      </c>
      <c r="F115" s="12">
        <v>10</v>
      </c>
      <c r="G115" s="12" t="str">
        <f>IFERROR(VLOOKUP(F115,Setup!B:C,2,FALSE),"")</f>
        <v>10mbps</v>
      </c>
      <c r="H115" s="13">
        <f>IFERROR(VLOOKUP(G115,Setup!C:D,2,FALSE),"")</f>
        <v>100000</v>
      </c>
      <c r="I115" s="6"/>
    </row>
    <row r="116" spans="1:9" ht="12.75" customHeight="1" x14ac:dyDescent="0.25">
      <c r="A116" s="6"/>
      <c r="B116" s="6">
        <v>114</v>
      </c>
      <c r="C116" s="12" t="str">
        <f t="shared" si="2"/>
        <v>JAM-114</v>
      </c>
      <c r="D116" s="46" t="s">
        <v>122</v>
      </c>
      <c r="E116" s="12" t="s">
        <v>114</v>
      </c>
      <c r="F116" s="12">
        <v>10</v>
      </c>
      <c r="G116" s="12" t="str">
        <f>IFERROR(VLOOKUP(F116,Setup!B:C,2,FALSE),"")</f>
        <v>10mbps</v>
      </c>
      <c r="H116" s="13">
        <f>IFERROR(VLOOKUP(G116,Setup!C:D,2,FALSE),"")</f>
        <v>100000</v>
      </c>
      <c r="I116" s="6"/>
    </row>
    <row r="117" spans="1:9" ht="12.75" customHeight="1" x14ac:dyDescent="0.25">
      <c r="A117" s="6"/>
      <c r="B117" s="6">
        <v>115</v>
      </c>
      <c r="C117" s="12" t="str">
        <f t="shared" si="2"/>
        <v>JAM-115</v>
      </c>
      <c r="D117" s="46" t="s">
        <v>123</v>
      </c>
      <c r="E117" s="12" t="s">
        <v>114</v>
      </c>
      <c r="F117" s="12">
        <v>10</v>
      </c>
      <c r="G117" s="12" t="str">
        <f>IFERROR(VLOOKUP(F117,Setup!B:C,2,FALSE),"")</f>
        <v>10mbps</v>
      </c>
      <c r="H117" s="13">
        <f>IFERROR(VLOOKUP(G117,Setup!C:D,2,FALSE),"")</f>
        <v>100000</v>
      </c>
      <c r="I117" s="6"/>
    </row>
    <row r="118" spans="1:9" ht="12.75" customHeight="1" x14ac:dyDescent="0.25">
      <c r="A118" s="6"/>
      <c r="B118" s="6">
        <v>116</v>
      </c>
      <c r="C118" s="12" t="str">
        <f t="shared" si="2"/>
        <v>JAM-116</v>
      </c>
      <c r="D118" s="46" t="s">
        <v>124</v>
      </c>
      <c r="E118" s="12" t="s">
        <v>114</v>
      </c>
      <c r="F118" s="12">
        <v>10</v>
      </c>
      <c r="G118" s="12" t="str">
        <f>IFERROR(VLOOKUP(F118,Setup!B:C,2,FALSE),"")</f>
        <v>10mbps</v>
      </c>
      <c r="H118" s="13">
        <f>IFERROR(VLOOKUP(G118,Setup!C:D,2,FALSE),"")</f>
        <v>100000</v>
      </c>
      <c r="I118" s="6"/>
    </row>
    <row r="119" spans="1:9" ht="12.75" customHeight="1" x14ac:dyDescent="0.25">
      <c r="A119" s="6"/>
      <c r="B119" s="6">
        <v>117</v>
      </c>
      <c r="C119" s="12" t="str">
        <f t="shared" si="2"/>
        <v>JAM-117</v>
      </c>
      <c r="D119" s="46" t="s">
        <v>125</v>
      </c>
      <c r="E119" s="12" t="s">
        <v>114</v>
      </c>
      <c r="F119" s="12">
        <v>10</v>
      </c>
      <c r="G119" s="12" t="str">
        <f>IFERROR(VLOOKUP(F119,Setup!B:C,2,FALSE),"")</f>
        <v>10mbps</v>
      </c>
      <c r="H119" s="13">
        <f>IFERROR(VLOOKUP(G119,Setup!C:D,2,FALSE),"")</f>
        <v>100000</v>
      </c>
      <c r="I119" s="6"/>
    </row>
    <row r="120" spans="1:9" ht="12.75" customHeight="1" x14ac:dyDescent="0.25">
      <c r="A120" s="6"/>
      <c r="B120" s="6">
        <v>118</v>
      </c>
      <c r="C120" s="12" t="str">
        <f t="shared" si="2"/>
        <v>JAM-118</v>
      </c>
      <c r="D120" s="46" t="s">
        <v>126</v>
      </c>
      <c r="E120" s="12" t="s">
        <v>114</v>
      </c>
      <c r="F120" s="12">
        <v>10</v>
      </c>
      <c r="G120" s="12" t="str">
        <f>IFERROR(VLOOKUP(F120,Setup!B:C,2,FALSE),"")</f>
        <v>10mbps</v>
      </c>
      <c r="H120" s="13">
        <f>IFERROR(VLOOKUP(G120,Setup!C:D,2,FALSE),"")</f>
        <v>100000</v>
      </c>
      <c r="I120" s="6"/>
    </row>
    <row r="121" spans="1:9" ht="12.75" customHeight="1" x14ac:dyDescent="0.25">
      <c r="A121" s="6"/>
      <c r="B121" s="6">
        <v>119</v>
      </c>
      <c r="C121" s="12" t="str">
        <f t="shared" si="2"/>
        <v>JAM-119</v>
      </c>
      <c r="D121" s="46" t="s">
        <v>127</v>
      </c>
      <c r="E121" s="12" t="s">
        <v>114</v>
      </c>
      <c r="F121" s="12">
        <v>10</v>
      </c>
      <c r="G121" s="12" t="str">
        <f>IFERROR(VLOOKUP(F121,Setup!B:C,2,FALSE),"")</f>
        <v>10mbps</v>
      </c>
      <c r="H121" s="13">
        <f>IFERROR(VLOOKUP(G121,Setup!C:D,2,FALSE),"")</f>
        <v>100000</v>
      </c>
      <c r="I121" s="6"/>
    </row>
    <row r="122" spans="1:9" ht="12.75" customHeight="1" x14ac:dyDescent="0.25">
      <c r="A122" s="6"/>
      <c r="B122" s="6">
        <v>120</v>
      </c>
      <c r="C122" s="12" t="str">
        <f t="shared" si="2"/>
        <v>JAM-120</v>
      </c>
      <c r="D122" s="46" t="s">
        <v>128</v>
      </c>
      <c r="E122" s="12" t="s">
        <v>114</v>
      </c>
      <c r="F122" s="12">
        <v>10</v>
      </c>
      <c r="G122" s="12" t="str">
        <f>IFERROR(VLOOKUP(F122,Setup!B:C,2,FALSE),"")</f>
        <v>10mbps</v>
      </c>
      <c r="H122" s="13">
        <f>IFERROR(VLOOKUP(G122,Setup!C:D,2,FALSE),"")</f>
        <v>100000</v>
      </c>
      <c r="I122" s="6"/>
    </row>
    <row r="123" spans="1:9" ht="12.75" customHeight="1" x14ac:dyDescent="0.25">
      <c r="A123" s="6"/>
      <c r="B123" s="6">
        <v>121</v>
      </c>
      <c r="C123" s="12" t="str">
        <f t="shared" si="2"/>
        <v>JAM-121</v>
      </c>
      <c r="D123" s="46" t="s">
        <v>129</v>
      </c>
      <c r="E123" s="12" t="s">
        <v>114</v>
      </c>
      <c r="F123" s="12">
        <v>10</v>
      </c>
      <c r="G123" s="12" t="str">
        <f>IFERROR(VLOOKUP(F123,Setup!B:C,2,FALSE),"")</f>
        <v>10mbps</v>
      </c>
      <c r="H123" s="13">
        <f>IFERROR(VLOOKUP(G123,Setup!C:D,2,FALSE),"")</f>
        <v>100000</v>
      </c>
      <c r="I123" s="6"/>
    </row>
    <row r="124" spans="1:9" ht="12.75" customHeight="1" x14ac:dyDescent="0.25">
      <c r="A124" s="6"/>
      <c r="B124" s="6">
        <v>122</v>
      </c>
      <c r="C124" s="12" t="str">
        <f t="shared" si="2"/>
        <v>JAM-122</v>
      </c>
      <c r="D124" s="46" t="s">
        <v>130</v>
      </c>
      <c r="E124" s="12" t="s">
        <v>114</v>
      </c>
      <c r="F124" s="12">
        <v>10</v>
      </c>
      <c r="G124" s="12" t="str">
        <f>IFERROR(VLOOKUP(F124,Setup!B:C,2,FALSE),"")</f>
        <v>10mbps</v>
      </c>
      <c r="H124" s="13">
        <f>IFERROR(VLOOKUP(G124,Setup!C:D,2,FALSE),"")</f>
        <v>100000</v>
      </c>
      <c r="I124" s="6"/>
    </row>
    <row r="125" spans="1:9" ht="12.75" customHeight="1" x14ac:dyDescent="0.25">
      <c r="A125" s="6"/>
      <c r="B125" s="6">
        <v>123</v>
      </c>
      <c r="C125" s="12" t="str">
        <f t="shared" si="2"/>
        <v>JAM-123</v>
      </c>
      <c r="D125" s="46" t="s">
        <v>131</v>
      </c>
      <c r="E125" s="12" t="s">
        <v>114</v>
      </c>
      <c r="F125" s="12">
        <v>10</v>
      </c>
      <c r="G125" s="12" t="str">
        <f>IFERROR(VLOOKUP(F125,Setup!B:C,2,FALSE),"")</f>
        <v>10mbps</v>
      </c>
      <c r="H125" s="13">
        <f>IFERROR(VLOOKUP(G125,Setup!C:D,2,FALSE),"")</f>
        <v>100000</v>
      </c>
      <c r="I125" s="6"/>
    </row>
    <row r="126" spans="1:9" ht="12.75" customHeight="1" x14ac:dyDescent="0.25">
      <c r="A126" s="6"/>
      <c r="B126" s="6">
        <v>124</v>
      </c>
      <c r="C126" s="12" t="str">
        <f t="shared" si="2"/>
        <v>JAM-124</v>
      </c>
      <c r="D126" s="46" t="s">
        <v>132</v>
      </c>
      <c r="E126" s="12" t="s">
        <v>114</v>
      </c>
      <c r="F126" s="12">
        <v>10</v>
      </c>
      <c r="G126" s="12" t="str">
        <f>IFERROR(VLOOKUP(F126,Setup!B:C,2,FALSE),"")</f>
        <v>10mbps</v>
      </c>
      <c r="H126" s="13">
        <f>IFERROR(VLOOKUP(G126,Setup!C:D,2,FALSE),"")</f>
        <v>100000</v>
      </c>
      <c r="I126" s="6"/>
    </row>
    <row r="127" spans="1:9" ht="12.75" customHeight="1" x14ac:dyDescent="0.25">
      <c r="A127" s="6"/>
      <c r="B127" s="6">
        <v>125</v>
      </c>
      <c r="C127" s="12" t="str">
        <f t="shared" si="2"/>
        <v>JAM-125</v>
      </c>
      <c r="D127" s="46" t="s">
        <v>133</v>
      </c>
      <c r="E127" s="12" t="s">
        <v>114</v>
      </c>
      <c r="F127" s="12">
        <v>10</v>
      </c>
      <c r="G127" s="12" t="str">
        <f>IFERROR(VLOOKUP(F127,Setup!B:C,2,FALSE),"")</f>
        <v>10mbps</v>
      </c>
      <c r="H127" s="13">
        <f>IFERROR(VLOOKUP(G127,Setup!C:D,2,FALSE),"")</f>
        <v>100000</v>
      </c>
      <c r="I127" s="6"/>
    </row>
    <row r="128" spans="1:9" ht="12.75" customHeight="1" x14ac:dyDescent="0.25">
      <c r="A128" s="6"/>
      <c r="B128" s="6">
        <v>126</v>
      </c>
      <c r="C128" s="12" t="str">
        <f t="shared" si="2"/>
        <v>JAM-126</v>
      </c>
      <c r="D128" s="46" t="s">
        <v>134</v>
      </c>
      <c r="E128" s="12" t="s">
        <v>114</v>
      </c>
      <c r="F128" s="12">
        <v>10</v>
      </c>
      <c r="G128" s="12" t="str">
        <f>IFERROR(VLOOKUP(F128,Setup!B:C,2,FALSE),"")</f>
        <v>10mbps</v>
      </c>
      <c r="H128" s="13">
        <f>IFERROR(VLOOKUP(G128,Setup!C:D,2,FALSE),"")</f>
        <v>100000</v>
      </c>
      <c r="I128" s="6"/>
    </row>
    <row r="129" spans="1:9" ht="12.75" customHeight="1" x14ac:dyDescent="0.25">
      <c r="A129" s="6"/>
      <c r="B129" s="6">
        <v>127</v>
      </c>
      <c r="C129" s="12" t="str">
        <f t="shared" si="2"/>
        <v>JAM-127</v>
      </c>
      <c r="D129" s="46" t="s">
        <v>135</v>
      </c>
      <c r="E129" s="12" t="s">
        <v>114</v>
      </c>
      <c r="F129" s="12">
        <v>10</v>
      </c>
      <c r="G129" s="12" t="str">
        <f>IFERROR(VLOOKUP(F129,Setup!B:C,2,FALSE),"")</f>
        <v>10mbps</v>
      </c>
      <c r="H129" s="13">
        <f>IFERROR(VLOOKUP(G129,Setup!C:D,2,FALSE),"")</f>
        <v>100000</v>
      </c>
      <c r="I129" s="6"/>
    </row>
    <row r="130" spans="1:9" ht="12.75" customHeight="1" x14ac:dyDescent="0.25">
      <c r="A130" s="6"/>
      <c r="B130" s="6">
        <v>128</v>
      </c>
      <c r="C130" s="12" t="str">
        <f t="shared" si="2"/>
        <v>JAM-128</v>
      </c>
      <c r="D130" s="46" t="s">
        <v>136</v>
      </c>
      <c r="E130" s="12" t="s">
        <v>114</v>
      </c>
      <c r="F130" s="12">
        <v>10</v>
      </c>
      <c r="G130" s="12" t="str">
        <f>IFERROR(VLOOKUP(F130,Setup!B:C,2,FALSE),"")</f>
        <v>10mbps</v>
      </c>
      <c r="H130" s="13">
        <f>IFERROR(VLOOKUP(G130,Setup!C:D,2,FALSE),"")</f>
        <v>100000</v>
      </c>
      <c r="I130" s="6"/>
    </row>
    <row r="131" spans="1:9" ht="12.75" customHeight="1" x14ac:dyDescent="0.25">
      <c r="A131" s="6"/>
      <c r="B131" s="6">
        <v>129</v>
      </c>
      <c r="C131" s="12" t="str">
        <f t="shared" si="2"/>
        <v>JAM-129</v>
      </c>
      <c r="D131" s="46" t="s">
        <v>137</v>
      </c>
      <c r="E131" s="12" t="s">
        <v>114</v>
      </c>
      <c r="F131" s="12">
        <v>10</v>
      </c>
      <c r="G131" s="12" t="str">
        <f>IFERROR(VLOOKUP(F131,Setup!B:C,2,FALSE),"")</f>
        <v>10mbps</v>
      </c>
      <c r="H131" s="13">
        <f>IFERROR(VLOOKUP(G131,Setup!C:D,2,FALSE),"")</f>
        <v>100000</v>
      </c>
      <c r="I131" s="6"/>
    </row>
    <row r="132" spans="1:9" ht="12.75" customHeight="1" x14ac:dyDescent="0.25">
      <c r="A132" s="6"/>
      <c r="B132" s="6">
        <v>130</v>
      </c>
      <c r="C132" s="12" t="str">
        <f t="shared" si="2"/>
        <v>JAM-130</v>
      </c>
      <c r="D132" s="46" t="s">
        <v>138</v>
      </c>
      <c r="E132" s="12" t="s">
        <v>114</v>
      </c>
      <c r="F132" s="12">
        <v>10</v>
      </c>
      <c r="G132" s="12" t="str">
        <f>IFERROR(VLOOKUP(F132,Setup!B:C,2,FALSE),"")</f>
        <v>10mbps</v>
      </c>
      <c r="H132" s="13">
        <f>IFERROR(VLOOKUP(G132,Setup!C:D,2,FALSE),"")</f>
        <v>100000</v>
      </c>
      <c r="I132" s="6"/>
    </row>
    <row r="133" spans="1:9" ht="12.75" customHeight="1" x14ac:dyDescent="0.25">
      <c r="A133" s="6"/>
      <c r="B133" s="6">
        <v>131</v>
      </c>
      <c r="C133" s="12" t="str">
        <f t="shared" si="2"/>
        <v>JAM-131</v>
      </c>
      <c r="D133" s="46" t="s">
        <v>139</v>
      </c>
      <c r="E133" s="12" t="s">
        <v>114</v>
      </c>
      <c r="F133" s="12">
        <v>10</v>
      </c>
      <c r="G133" s="12" t="str">
        <f>IFERROR(VLOOKUP(F133,Setup!B:C,2,FALSE),"")</f>
        <v>10mbps</v>
      </c>
      <c r="H133" s="13">
        <f>IFERROR(VLOOKUP(G133,Setup!C:D,2,FALSE),"")</f>
        <v>100000</v>
      </c>
      <c r="I133" s="6"/>
    </row>
    <row r="134" spans="1:9" ht="12.75" customHeight="1" x14ac:dyDescent="0.25">
      <c r="A134" s="6"/>
      <c r="B134" s="6">
        <v>132</v>
      </c>
      <c r="C134" s="12" t="str">
        <f t="shared" si="2"/>
        <v>JAM-132</v>
      </c>
      <c r="D134" s="46" t="s">
        <v>140</v>
      </c>
      <c r="E134" s="12" t="s">
        <v>114</v>
      </c>
      <c r="F134" s="12">
        <v>10</v>
      </c>
      <c r="G134" s="12" t="str">
        <f>IFERROR(VLOOKUP(F134,Setup!B:C,2,FALSE),"")</f>
        <v>10mbps</v>
      </c>
      <c r="H134" s="13">
        <f>IFERROR(VLOOKUP(G134,Setup!C:D,2,FALSE),"")</f>
        <v>100000</v>
      </c>
      <c r="I134" s="6"/>
    </row>
    <row r="135" spans="1:9" ht="12.75" customHeight="1" x14ac:dyDescent="0.25">
      <c r="A135" s="6"/>
      <c r="B135" s="6">
        <v>133</v>
      </c>
      <c r="C135" s="12" t="str">
        <f t="shared" ref="C135:C201" si="3">IF(D135="","",LEFT(SUBSTITUTE(UPPER(E135)," ",""),3)&amp;"-"&amp;TEXT(B135,"000"))</f>
        <v>JAM-133</v>
      </c>
      <c r="D135" s="46" t="s">
        <v>141</v>
      </c>
      <c r="E135" s="12" t="s">
        <v>114</v>
      </c>
      <c r="F135" s="12">
        <v>10</v>
      </c>
      <c r="G135" s="12" t="str">
        <f>IFERROR(VLOOKUP(F135,Setup!B:C,2,FALSE),"")</f>
        <v>10mbps</v>
      </c>
      <c r="H135" s="13">
        <f>IFERROR(VLOOKUP(G135,Setup!C:D,2,FALSE),"")</f>
        <v>100000</v>
      </c>
      <c r="I135" s="6"/>
    </row>
    <row r="136" spans="1:9" ht="12.75" customHeight="1" x14ac:dyDescent="0.25">
      <c r="A136" s="6"/>
      <c r="B136" s="6">
        <v>134</v>
      </c>
      <c r="C136" s="12" t="str">
        <f t="shared" si="3"/>
        <v>JAM-134</v>
      </c>
      <c r="D136" s="46" t="s">
        <v>142</v>
      </c>
      <c r="E136" s="12" t="s">
        <v>114</v>
      </c>
      <c r="F136" s="12">
        <v>10</v>
      </c>
      <c r="G136" s="12" t="str">
        <f>IFERROR(VLOOKUP(F136,Setup!B:C,2,FALSE),"")</f>
        <v>10mbps</v>
      </c>
      <c r="H136" s="13">
        <f>IFERROR(VLOOKUP(G136,Setup!C:D,2,FALSE),"")</f>
        <v>100000</v>
      </c>
      <c r="I136" s="6"/>
    </row>
    <row r="137" spans="1:9" ht="12.75" customHeight="1" x14ac:dyDescent="0.25">
      <c r="A137" s="6"/>
      <c r="B137" s="6">
        <v>135</v>
      </c>
      <c r="C137" s="12" t="str">
        <f t="shared" si="3"/>
        <v>JAM-135</v>
      </c>
      <c r="D137" s="46" t="s">
        <v>143</v>
      </c>
      <c r="E137" s="12" t="s">
        <v>114</v>
      </c>
      <c r="F137" s="12">
        <v>10</v>
      </c>
      <c r="G137" s="12" t="str">
        <f>IFERROR(VLOOKUP(F137,Setup!B:C,2,FALSE),"")</f>
        <v>10mbps</v>
      </c>
      <c r="H137" s="13">
        <f>IFERROR(VLOOKUP(G137,Setup!C:D,2,FALSE),"")</f>
        <v>100000</v>
      </c>
      <c r="I137" s="6"/>
    </row>
    <row r="138" spans="1:9" ht="12.75" customHeight="1" x14ac:dyDescent="0.25">
      <c r="A138" s="6"/>
      <c r="B138" s="6">
        <v>136</v>
      </c>
      <c r="C138" s="12" t="str">
        <f t="shared" si="3"/>
        <v>JAM-136</v>
      </c>
      <c r="D138" s="46" t="s">
        <v>144</v>
      </c>
      <c r="E138" s="12" t="s">
        <v>114</v>
      </c>
      <c r="F138" s="12">
        <v>10</v>
      </c>
      <c r="G138" s="12" t="str">
        <f>IFERROR(VLOOKUP(F138,Setup!B:C,2,FALSE),"")</f>
        <v>10mbps</v>
      </c>
      <c r="H138" s="13">
        <f>IFERROR(VLOOKUP(G138,Setup!C:D,2,FALSE),"")</f>
        <v>100000</v>
      </c>
      <c r="I138" s="6"/>
    </row>
    <row r="139" spans="1:9" ht="12.75" customHeight="1" x14ac:dyDescent="0.25">
      <c r="A139" s="6"/>
      <c r="B139" s="6">
        <v>137</v>
      </c>
      <c r="C139" s="12" t="str">
        <f t="shared" si="3"/>
        <v>JAM-137</v>
      </c>
      <c r="D139" s="46" t="s">
        <v>145</v>
      </c>
      <c r="E139" s="12" t="s">
        <v>114</v>
      </c>
      <c r="F139" s="12">
        <v>10</v>
      </c>
      <c r="G139" s="12" t="str">
        <f>IFERROR(VLOOKUP(F139,Setup!B:C,2,FALSE),"")</f>
        <v>10mbps</v>
      </c>
      <c r="H139" s="13">
        <f>IFERROR(VLOOKUP(G139,Setup!C:D,2,FALSE),"")</f>
        <v>100000</v>
      </c>
      <c r="I139" s="6"/>
    </row>
    <row r="140" spans="1:9" ht="12.75" customHeight="1" x14ac:dyDescent="0.25">
      <c r="A140" s="6"/>
      <c r="B140" s="6">
        <v>138</v>
      </c>
      <c r="C140" s="12" t="str">
        <f t="shared" si="3"/>
        <v>JAM-138</v>
      </c>
      <c r="D140" s="46" t="s">
        <v>146</v>
      </c>
      <c r="E140" s="12" t="s">
        <v>114</v>
      </c>
      <c r="F140" s="12">
        <v>10</v>
      </c>
      <c r="G140" s="12" t="str">
        <f>IFERROR(VLOOKUP(F140,Setup!B:C,2,FALSE),"")</f>
        <v>10mbps</v>
      </c>
      <c r="H140" s="13">
        <f>IFERROR(VLOOKUP(G140,Setup!C:D,2,FALSE),"")</f>
        <v>100000</v>
      </c>
      <c r="I140" s="6"/>
    </row>
    <row r="141" spans="1:9" ht="12.75" customHeight="1" x14ac:dyDescent="0.25">
      <c r="A141" s="6"/>
      <c r="B141" s="6">
        <v>139</v>
      </c>
      <c r="C141" s="12" t="str">
        <f t="shared" si="3"/>
        <v>JAM-139</v>
      </c>
      <c r="D141" s="46" t="s">
        <v>147</v>
      </c>
      <c r="E141" s="12" t="s">
        <v>114</v>
      </c>
      <c r="F141" s="12">
        <v>10</v>
      </c>
      <c r="G141" s="12" t="str">
        <f>IFERROR(VLOOKUP(F141,Setup!B:C,2,FALSE),"")</f>
        <v>10mbps</v>
      </c>
      <c r="H141" s="13">
        <f>IFERROR(VLOOKUP(G141,Setup!C:D,2,FALSE),"")</f>
        <v>100000</v>
      </c>
      <c r="I141" s="6"/>
    </row>
    <row r="142" spans="1:9" ht="12.75" customHeight="1" x14ac:dyDescent="0.25">
      <c r="A142" s="6"/>
      <c r="B142" s="6">
        <v>140</v>
      </c>
      <c r="C142" s="12" t="str">
        <f t="shared" si="3"/>
        <v>JAM-140</v>
      </c>
      <c r="D142" s="46" t="s">
        <v>148</v>
      </c>
      <c r="E142" s="12" t="s">
        <v>114</v>
      </c>
      <c r="F142" s="12">
        <v>10</v>
      </c>
      <c r="G142" s="12" t="str">
        <f>IFERROR(VLOOKUP(F142,Setup!B:C,2,FALSE),"")</f>
        <v>10mbps</v>
      </c>
      <c r="H142" s="13">
        <f>IFERROR(VLOOKUP(G142,Setup!C:D,2,FALSE),"")</f>
        <v>100000</v>
      </c>
      <c r="I142" s="6"/>
    </row>
    <row r="143" spans="1:9" ht="12.75" customHeight="1" x14ac:dyDescent="0.25">
      <c r="A143" s="6"/>
      <c r="B143" s="6">
        <v>141</v>
      </c>
      <c r="C143" s="12" t="str">
        <f t="shared" si="3"/>
        <v>JAM-141</v>
      </c>
      <c r="D143" s="46" t="s">
        <v>149</v>
      </c>
      <c r="E143" s="12" t="s">
        <v>114</v>
      </c>
      <c r="F143" s="12">
        <v>10</v>
      </c>
      <c r="G143" s="12" t="str">
        <f>IFERROR(VLOOKUP(F143,Setup!B:C,2,FALSE),"")</f>
        <v>10mbps</v>
      </c>
      <c r="H143" s="13">
        <f>IFERROR(VLOOKUP(G143,Setup!C:D,2,FALSE),"")</f>
        <v>100000</v>
      </c>
      <c r="I143" s="6"/>
    </row>
    <row r="144" spans="1:9" ht="12.75" customHeight="1" x14ac:dyDescent="0.25">
      <c r="A144" s="6"/>
      <c r="B144" s="6">
        <v>142</v>
      </c>
      <c r="C144" s="12" t="str">
        <f t="shared" si="3"/>
        <v>JAM-142</v>
      </c>
      <c r="D144" s="46" t="s">
        <v>150</v>
      </c>
      <c r="E144" s="12" t="s">
        <v>114</v>
      </c>
      <c r="F144" s="12">
        <v>10</v>
      </c>
      <c r="G144" s="12" t="str">
        <f>IFERROR(VLOOKUP(F144,Setup!B:C,2,FALSE),"")</f>
        <v>10mbps</v>
      </c>
      <c r="H144" s="13">
        <f>IFERROR(VLOOKUP(G144,Setup!C:D,2,FALSE),"")</f>
        <v>100000</v>
      </c>
      <c r="I144" s="6"/>
    </row>
    <row r="145" spans="1:9" ht="12.75" customHeight="1" x14ac:dyDescent="0.25">
      <c r="A145" s="6"/>
      <c r="B145" s="6">
        <v>143</v>
      </c>
      <c r="C145" s="12" t="str">
        <f t="shared" si="3"/>
        <v>JAM-143</v>
      </c>
      <c r="D145" s="46" t="s">
        <v>151</v>
      </c>
      <c r="E145" s="12" t="s">
        <v>114</v>
      </c>
      <c r="F145" s="12">
        <v>10</v>
      </c>
      <c r="G145" s="12" t="str">
        <f>IFERROR(VLOOKUP(F145,Setup!B:C,2,FALSE),"")</f>
        <v>10mbps</v>
      </c>
      <c r="H145" s="13">
        <f>IFERROR(VLOOKUP(G145,Setup!C:D,2,FALSE),"")</f>
        <v>100000</v>
      </c>
      <c r="I145" s="6"/>
    </row>
    <row r="146" spans="1:9" ht="12.75" customHeight="1" x14ac:dyDescent="0.25">
      <c r="A146" s="6"/>
      <c r="B146" s="6">
        <v>144</v>
      </c>
      <c r="C146" s="12" t="str">
        <f t="shared" si="3"/>
        <v>JAM-144</v>
      </c>
      <c r="D146" s="46" t="s">
        <v>152</v>
      </c>
      <c r="E146" s="12" t="s">
        <v>114</v>
      </c>
      <c r="F146" s="12">
        <v>10</v>
      </c>
      <c r="G146" s="12" t="str">
        <f>IFERROR(VLOOKUP(F146,Setup!B:C,2,FALSE),"")</f>
        <v>10mbps</v>
      </c>
      <c r="H146" s="13">
        <f>IFERROR(VLOOKUP(G146,Setup!C:D,2,FALSE),"")</f>
        <v>100000</v>
      </c>
      <c r="I146" s="6"/>
    </row>
    <row r="147" spans="1:9" ht="12.75" customHeight="1" x14ac:dyDescent="0.25">
      <c r="A147" s="6"/>
      <c r="B147" s="6">
        <v>145</v>
      </c>
      <c r="C147" s="12" t="str">
        <f t="shared" si="3"/>
        <v>JAM-145</v>
      </c>
      <c r="D147" s="46" t="s">
        <v>153</v>
      </c>
      <c r="E147" s="12" t="s">
        <v>114</v>
      </c>
      <c r="F147" s="12">
        <v>10</v>
      </c>
      <c r="G147" s="12" t="str">
        <f>IFERROR(VLOOKUP(F147,Setup!B:C,2,FALSE),"")</f>
        <v>10mbps</v>
      </c>
      <c r="H147" s="13">
        <f>IFERROR(VLOOKUP(G147,Setup!C:D,2,FALSE),"")</f>
        <v>100000</v>
      </c>
      <c r="I147" s="6"/>
    </row>
    <row r="148" spans="1:9" ht="12.75" customHeight="1" x14ac:dyDescent="0.25">
      <c r="A148" s="6"/>
      <c r="B148" s="6">
        <v>146</v>
      </c>
      <c r="C148" s="12" t="str">
        <f t="shared" si="3"/>
        <v>JAM-146</v>
      </c>
      <c r="D148" s="46" t="s">
        <v>154</v>
      </c>
      <c r="E148" s="12" t="s">
        <v>114</v>
      </c>
      <c r="F148" s="12">
        <v>10</v>
      </c>
      <c r="G148" s="12" t="str">
        <f>IFERROR(VLOOKUP(F148,Setup!B:C,2,FALSE),"")</f>
        <v>10mbps</v>
      </c>
      <c r="H148" s="13">
        <f>IFERROR(VLOOKUP(G148,Setup!C:D,2,FALSE),"")</f>
        <v>100000</v>
      </c>
      <c r="I148" s="6"/>
    </row>
    <row r="149" spans="1:9" ht="12.75" customHeight="1" x14ac:dyDescent="0.25">
      <c r="A149" s="6"/>
      <c r="B149" s="6">
        <v>147</v>
      </c>
      <c r="C149" s="12" t="str">
        <f t="shared" si="3"/>
        <v>JAM-147</v>
      </c>
      <c r="D149" s="46" t="s">
        <v>155</v>
      </c>
      <c r="E149" s="12" t="s">
        <v>114</v>
      </c>
      <c r="F149" s="12">
        <v>10</v>
      </c>
      <c r="G149" s="12" t="str">
        <f>IFERROR(VLOOKUP(F149,Setup!B:C,2,FALSE),"")</f>
        <v>10mbps</v>
      </c>
      <c r="H149" s="13">
        <f>IFERROR(VLOOKUP(G149,Setup!C:D,2,FALSE),"")</f>
        <v>100000</v>
      </c>
      <c r="I149" s="6"/>
    </row>
    <row r="150" spans="1:9" ht="12.75" customHeight="1" x14ac:dyDescent="0.25">
      <c r="A150" s="6"/>
      <c r="B150" s="6">
        <v>148</v>
      </c>
      <c r="C150" s="12" t="str">
        <f t="shared" si="3"/>
        <v>JAM-148</v>
      </c>
      <c r="D150" s="46" t="s">
        <v>156</v>
      </c>
      <c r="E150" s="12" t="s">
        <v>114</v>
      </c>
      <c r="F150" s="12">
        <v>10</v>
      </c>
      <c r="G150" s="12" t="str">
        <f>IFERROR(VLOOKUP(F150,Setup!B:C,2,FALSE),"")</f>
        <v>10mbps</v>
      </c>
      <c r="H150" s="13">
        <f>IFERROR(VLOOKUP(G150,Setup!C:D,2,FALSE),"")</f>
        <v>100000</v>
      </c>
      <c r="I150" s="6"/>
    </row>
    <row r="151" spans="1:9" ht="12.75" customHeight="1" x14ac:dyDescent="0.25">
      <c r="A151" s="6"/>
      <c r="B151" s="6">
        <v>149</v>
      </c>
      <c r="C151" s="12" t="str">
        <f t="shared" si="3"/>
        <v>JAM-149</v>
      </c>
      <c r="D151" s="46" t="s">
        <v>158</v>
      </c>
      <c r="E151" s="12" t="s">
        <v>114</v>
      </c>
      <c r="F151" s="12">
        <v>10</v>
      </c>
      <c r="G151" s="12" t="str">
        <f>IFERROR(VLOOKUP(F151,Setup!B:C,2,FALSE),"")</f>
        <v>10mbps</v>
      </c>
      <c r="H151" s="13">
        <f>IFERROR(VLOOKUP(G151,Setup!C:D,2,FALSE),"")</f>
        <v>100000</v>
      </c>
      <c r="I151" s="6"/>
    </row>
    <row r="152" spans="1:9" ht="12.75" customHeight="1" x14ac:dyDescent="0.25">
      <c r="A152" s="6"/>
      <c r="B152" s="6">
        <v>150</v>
      </c>
      <c r="C152" s="12" t="str">
        <f t="shared" si="3"/>
        <v>JAM-150</v>
      </c>
      <c r="D152" s="46" t="s">
        <v>159</v>
      </c>
      <c r="E152" s="12" t="s">
        <v>114</v>
      </c>
      <c r="F152" s="12">
        <v>10</v>
      </c>
      <c r="G152" s="12" t="str">
        <f>IFERROR(VLOOKUP(F152,Setup!B:C,2,FALSE),"")</f>
        <v>10mbps</v>
      </c>
      <c r="H152" s="13">
        <f>IFERROR(VLOOKUP(G152,Setup!C:D,2,FALSE),"")</f>
        <v>100000</v>
      </c>
      <c r="I152" s="6"/>
    </row>
    <row r="153" spans="1:9" ht="12.75" customHeight="1" x14ac:dyDescent="0.25">
      <c r="A153" s="6"/>
      <c r="B153" s="6">
        <v>151</v>
      </c>
      <c r="C153" s="12" t="str">
        <f t="shared" si="3"/>
        <v>JAM-151</v>
      </c>
      <c r="D153" s="46" t="s">
        <v>160</v>
      </c>
      <c r="E153" s="12" t="s">
        <v>114</v>
      </c>
      <c r="F153" s="12">
        <v>10</v>
      </c>
      <c r="G153" s="12" t="str">
        <f>IFERROR(VLOOKUP(F153,Setup!B:C,2,FALSE),"")</f>
        <v>10mbps</v>
      </c>
      <c r="H153" s="13">
        <f>IFERROR(VLOOKUP(G153,Setup!C:D,2,FALSE),"")</f>
        <v>100000</v>
      </c>
      <c r="I153" s="6"/>
    </row>
    <row r="154" spans="1:9" ht="12.75" customHeight="1" x14ac:dyDescent="0.25">
      <c r="A154" s="6"/>
      <c r="B154" s="6">
        <v>152</v>
      </c>
      <c r="C154" s="12" t="str">
        <f t="shared" si="3"/>
        <v>JAM-152</v>
      </c>
      <c r="D154" s="46" t="s">
        <v>161</v>
      </c>
      <c r="E154" s="12" t="s">
        <v>114</v>
      </c>
      <c r="F154" s="12">
        <v>10</v>
      </c>
      <c r="G154" s="12" t="str">
        <f>IFERROR(VLOOKUP(F154,Setup!B:C,2,FALSE),"")</f>
        <v>10mbps</v>
      </c>
      <c r="H154" s="13">
        <f>IFERROR(VLOOKUP(G154,Setup!C:D,2,FALSE),"")</f>
        <v>100000</v>
      </c>
      <c r="I154" s="6"/>
    </row>
    <row r="155" spans="1:9" ht="12.75" customHeight="1" x14ac:dyDescent="0.25">
      <c r="A155" s="6"/>
      <c r="B155" s="6">
        <v>153</v>
      </c>
      <c r="C155" s="12" t="str">
        <f t="shared" si="3"/>
        <v>JAM-153</v>
      </c>
      <c r="D155" s="46" t="s">
        <v>162</v>
      </c>
      <c r="E155" s="12" t="s">
        <v>114</v>
      </c>
      <c r="F155" s="12">
        <v>10</v>
      </c>
      <c r="G155" s="12" t="str">
        <f>IFERROR(VLOOKUP(F155,Setup!B:C,2,FALSE),"")</f>
        <v>10mbps</v>
      </c>
      <c r="H155" s="13">
        <f>IFERROR(VLOOKUP(G155,Setup!C:D,2,FALSE),"")</f>
        <v>100000</v>
      </c>
      <c r="I155" s="6"/>
    </row>
    <row r="156" spans="1:9" ht="12.75" customHeight="1" x14ac:dyDescent="0.25">
      <c r="A156" s="6"/>
      <c r="B156" s="6">
        <v>154</v>
      </c>
      <c r="C156" s="12" t="str">
        <f t="shared" si="3"/>
        <v>JAM-154</v>
      </c>
      <c r="D156" s="46" t="s">
        <v>163</v>
      </c>
      <c r="E156" s="12" t="s">
        <v>114</v>
      </c>
      <c r="F156" s="12">
        <v>10</v>
      </c>
      <c r="G156" s="12" t="str">
        <f>IFERROR(VLOOKUP(F156,Setup!B:C,2,FALSE),"")</f>
        <v>10mbps</v>
      </c>
      <c r="H156" s="13">
        <f>IFERROR(VLOOKUP(G156,Setup!C:D,2,FALSE),"")</f>
        <v>100000</v>
      </c>
      <c r="I156" s="6"/>
    </row>
    <row r="157" spans="1:9" ht="12.75" customHeight="1" x14ac:dyDescent="0.25">
      <c r="A157" s="6"/>
      <c r="B157" s="6">
        <v>155</v>
      </c>
      <c r="C157" s="12" t="str">
        <f t="shared" si="3"/>
        <v>JAM-155</v>
      </c>
      <c r="D157" s="46" t="s">
        <v>164</v>
      </c>
      <c r="E157" s="12" t="s">
        <v>114</v>
      </c>
      <c r="F157" s="12">
        <v>10</v>
      </c>
      <c r="G157" s="12" t="str">
        <f>IFERROR(VLOOKUP(F157,Setup!B:C,2,FALSE),"")</f>
        <v>10mbps</v>
      </c>
      <c r="H157" s="13">
        <f>IFERROR(VLOOKUP(G157,Setup!C:D,2,FALSE),"")</f>
        <v>100000</v>
      </c>
      <c r="I157" s="6"/>
    </row>
    <row r="158" spans="1:9" ht="12.75" customHeight="1" x14ac:dyDescent="0.25">
      <c r="A158" s="6"/>
      <c r="B158" s="6">
        <v>156</v>
      </c>
      <c r="C158" s="12" t="str">
        <f t="shared" si="3"/>
        <v>JAM-156</v>
      </c>
      <c r="D158" s="46" t="s">
        <v>165</v>
      </c>
      <c r="E158" s="12" t="s">
        <v>114</v>
      </c>
      <c r="F158" s="12">
        <v>10</v>
      </c>
      <c r="G158" s="12" t="str">
        <f>IFERROR(VLOOKUP(F158,Setup!B:C,2,FALSE),"")</f>
        <v>10mbps</v>
      </c>
      <c r="H158" s="13">
        <f>IFERROR(VLOOKUP(G158,Setup!C:D,2,FALSE),"")</f>
        <v>100000</v>
      </c>
      <c r="I158" s="6"/>
    </row>
    <row r="159" spans="1:9" ht="12.75" customHeight="1" x14ac:dyDescent="0.25">
      <c r="A159" s="6"/>
      <c r="B159" s="6">
        <v>157</v>
      </c>
      <c r="C159" s="12" t="str">
        <f t="shared" si="3"/>
        <v>JAM-157</v>
      </c>
      <c r="D159" s="46" t="s">
        <v>166</v>
      </c>
      <c r="E159" s="12" t="s">
        <v>114</v>
      </c>
      <c r="F159" s="12">
        <v>10</v>
      </c>
      <c r="G159" s="12" t="str">
        <f>IFERROR(VLOOKUP(F159,Setup!B:C,2,FALSE),"")</f>
        <v>10mbps</v>
      </c>
      <c r="H159" s="13">
        <f>IFERROR(VLOOKUP(G159,Setup!C:D,2,FALSE),"")</f>
        <v>100000</v>
      </c>
      <c r="I159" s="6"/>
    </row>
    <row r="160" spans="1:9" ht="12.75" customHeight="1" x14ac:dyDescent="0.25">
      <c r="A160" s="6"/>
      <c r="B160" s="6">
        <v>158</v>
      </c>
      <c r="C160" s="12" t="str">
        <f t="shared" si="3"/>
        <v>JAM-158</v>
      </c>
      <c r="D160" s="46" t="s">
        <v>167</v>
      </c>
      <c r="E160" s="12" t="s">
        <v>168</v>
      </c>
      <c r="F160" s="12">
        <v>10</v>
      </c>
      <c r="G160" s="12" t="str">
        <f>IFERROR(VLOOKUP(F160,Setup!B:C,2,FALSE),"")</f>
        <v>10mbps</v>
      </c>
      <c r="H160" s="13">
        <f>IFERROR(VLOOKUP(G160,Setup!C:D,2,FALSE),"")</f>
        <v>100000</v>
      </c>
      <c r="I160" s="6"/>
    </row>
    <row r="161" spans="1:9" ht="12.75" customHeight="1" x14ac:dyDescent="0.25">
      <c r="A161" s="6"/>
      <c r="B161" s="6">
        <v>159</v>
      </c>
      <c r="C161" s="12" t="str">
        <f t="shared" si="3"/>
        <v>JAM-159</v>
      </c>
      <c r="D161" s="46" t="s">
        <v>169</v>
      </c>
      <c r="E161" s="12" t="s">
        <v>170</v>
      </c>
      <c r="F161" s="12">
        <v>10</v>
      </c>
      <c r="G161" s="12" t="str">
        <f>IFERROR(VLOOKUP(F161,Setup!B:C,2,FALSE),"")</f>
        <v>10mbps</v>
      </c>
      <c r="H161" s="13">
        <f>IFERROR(VLOOKUP(G161,Setup!C:D,2,FALSE),"")</f>
        <v>100000</v>
      </c>
      <c r="I161" s="6"/>
    </row>
    <row r="162" spans="1:9" ht="12.75" customHeight="1" x14ac:dyDescent="0.25">
      <c r="A162" s="6"/>
      <c r="B162" s="6">
        <v>160</v>
      </c>
      <c r="C162" s="12" t="str">
        <f t="shared" si="3"/>
        <v>JAM-160</v>
      </c>
      <c r="D162" s="46" t="s">
        <v>171</v>
      </c>
      <c r="E162" s="12" t="s">
        <v>170</v>
      </c>
      <c r="F162" s="12">
        <v>10</v>
      </c>
      <c r="G162" s="12" t="str">
        <f>IFERROR(VLOOKUP(F162,Setup!B:C,2,FALSE),"")</f>
        <v>10mbps</v>
      </c>
      <c r="H162" s="13">
        <f>IFERROR(VLOOKUP(G162,Setup!C:D,2,FALSE),"")</f>
        <v>100000</v>
      </c>
      <c r="I162" s="6"/>
    </row>
    <row r="163" spans="1:9" ht="12.75" customHeight="1" x14ac:dyDescent="0.25">
      <c r="A163" s="6"/>
      <c r="B163" s="6">
        <v>161</v>
      </c>
      <c r="C163" s="12" t="str">
        <f t="shared" si="3"/>
        <v>JAM-161</v>
      </c>
      <c r="D163" s="46" t="s">
        <v>172</v>
      </c>
      <c r="E163" s="12" t="s">
        <v>114</v>
      </c>
      <c r="F163" s="12">
        <v>10</v>
      </c>
      <c r="G163" s="12" t="str">
        <f>IFERROR(VLOOKUP(F163,Setup!B:C,2,FALSE),"")</f>
        <v>10mbps</v>
      </c>
      <c r="H163" s="13">
        <f>IFERROR(VLOOKUP(G163,Setup!C:D,2,FALSE),"")</f>
        <v>100000</v>
      </c>
      <c r="I163" s="6"/>
    </row>
    <row r="164" spans="1:9" ht="12.75" customHeight="1" x14ac:dyDescent="0.25">
      <c r="A164" s="6"/>
      <c r="B164" s="6">
        <v>162</v>
      </c>
      <c r="C164" s="12" t="str">
        <f t="shared" si="3"/>
        <v>KAL-162</v>
      </c>
      <c r="D164" s="46" t="s">
        <v>173</v>
      </c>
      <c r="E164" s="12" t="s">
        <v>174</v>
      </c>
      <c r="F164" s="12">
        <v>10</v>
      </c>
      <c r="G164" s="12" t="str">
        <f>IFERROR(VLOOKUP(F164,Setup!B:C,2,FALSE),"")</f>
        <v>10mbps</v>
      </c>
      <c r="H164" s="13">
        <f>IFERROR(VLOOKUP(G164,Setup!C:D,2,FALSE),"")</f>
        <v>100000</v>
      </c>
      <c r="I164" s="6"/>
    </row>
    <row r="165" spans="1:9" ht="12.75" customHeight="1" x14ac:dyDescent="0.25">
      <c r="A165" s="6"/>
      <c r="B165" s="6">
        <v>163</v>
      </c>
      <c r="C165" s="12" t="str">
        <f t="shared" si="3"/>
        <v>KAL-163</v>
      </c>
      <c r="D165" s="46" t="s">
        <v>175</v>
      </c>
      <c r="E165" s="12" t="s">
        <v>174</v>
      </c>
      <c r="F165" s="12">
        <v>10</v>
      </c>
      <c r="G165" s="12" t="str">
        <f>IFERROR(VLOOKUP(F165,Setup!B:C,2,FALSE),"")</f>
        <v>10mbps</v>
      </c>
      <c r="H165" s="13">
        <f>IFERROR(VLOOKUP(G165,Setup!C:D,2,FALSE),"")</f>
        <v>100000</v>
      </c>
      <c r="I165" s="6"/>
    </row>
    <row r="166" spans="1:9" ht="12.75" customHeight="1" x14ac:dyDescent="0.25">
      <c r="A166" s="6"/>
      <c r="B166" s="6">
        <v>164</v>
      </c>
      <c r="C166" s="12" t="str">
        <f t="shared" si="3"/>
        <v>KAL-164</v>
      </c>
      <c r="D166" s="46" t="s">
        <v>176</v>
      </c>
      <c r="E166" s="12" t="s">
        <v>174</v>
      </c>
      <c r="F166" s="12">
        <v>10</v>
      </c>
      <c r="G166" s="12" t="str">
        <f>IFERROR(VLOOKUP(F166,Setup!B:C,2,FALSE),"")</f>
        <v>10mbps</v>
      </c>
      <c r="H166" s="13">
        <f>IFERROR(VLOOKUP(G166,Setup!C:D,2,FALSE),"")</f>
        <v>100000</v>
      </c>
      <c r="I166" s="6"/>
    </row>
    <row r="167" spans="1:9" ht="12.75" customHeight="1" x14ac:dyDescent="0.25">
      <c r="A167" s="6"/>
      <c r="B167" s="6">
        <v>165</v>
      </c>
      <c r="C167" s="12" t="str">
        <f t="shared" si="3"/>
        <v>KAL-165</v>
      </c>
      <c r="D167" s="46" t="s">
        <v>177</v>
      </c>
      <c r="E167" s="12" t="s">
        <v>174</v>
      </c>
      <c r="F167" s="12">
        <v>10</v>
      </c>
      <c r="G167" s="12" t="str">
        <f>IFERROR(VLOOKUP(F167,Setup!B:C,2,FALSE),"")</f>
        <v>10mbps</v>
      </c>
      <c r="H167" s="13">
        <f>IFERROR(VLOOKUP(G167,Setup!C:D,2,FALSE),"")</f>
        <v>100000</v>
      </c>
      <c r="I167" s="6"/>
    </row>
    <row r="168" spans="1:9" ht="12.75" customHeight="1" x14ac:dyDescent="0.25">
      <c r="A168" s="6"/>
      <c r="B168" s="6">
        <v>166</v>
      </c>
      <c r="C168" s="12" t="str">
        <f t="shared" si="3"/>
        <v>KAL-166</v>
      </c>
      <c r="D168" s="46" t="s">
        <v>178</v>
      </c>
      <c r="E168" s="12" t="s">
        <v>174</v>
      </c>
      <c r="F168" s="12">
        <v>10</v>
      </c>
      <c r="G168" s="12" t="str">
        <f>IFERROR(VLOOKUP(F168,Setup!B:C,2,FALSE),"")</f>
        <v>10mbps</v>
      </c>
      <c r="H168" s="13">
        <f>IFERROR(VLOOKUP(G168,Setup!C:D,2,FALSE),"")</f>
        <v>100000</v>
      </c>
      <c r="I168" s="6"/>
    </row>
    <row r="169" spans="1:9" ht="12.75" customHeight="1" x14ac:dyDescent="0.25">
      <c r="A169" s="6"/>
      <c r="B169" s="6">
        <v>167</v>
      </c>
      <c r="C169" s="12" t="str">
        <f t="shared" si="3"/>
        <v>KAL-167</v>
      </c>
      <c r="D169" s="46" t="s">
        <v>179</v>
      </c>
      <c r="E169" s="12" t="s">
        <v>174</v>
      </c>
      <c r="F169" s="12">
        <v>10</v>
      </c>
      <c r="G169" s="12" t="str">
        <f>IFERROR(VLOOKUP(F169,Setup!B:C,2,FALSE),"")</f>
        <v>10mbps</v>
      </c>
      <c r="H169" s="13">
        <f>IFERROR(VLOOKUP(G169,Setup!C:D,2,FALSE),"")</f>
        <v>100000</v>
      </c>
      <c r="I169" s="6"/>
    </row>
    <row r="170" spans="1:9" ht="12.75" customHeight="1" x14ac:dyDescent="0.25">
      <c r="A170" s="6"/>
      <c r="B170" s="6">
        <v>168</v>
      </c>
      <c r="C170" s="12" t="str">
        <f t="shared" si="3"/>
        <v>KAL-168</v>
      </c>
      <c r="D170" s="46" t="s">
        <v>180</v>
      </c>
      <c r="E170" s="12" t="s">
        <v>174</v>
      </c>
      <c r="F170" s="12">
        <v>10</v>
      </c>
      <c r="G170" s="12" t="str">
        <f>IFERROR(VLOOKUP(F170,Setup!B:C,2,FALSE),"")</f>
        <v>10mbps</v>
      </c>
      <c r="H170" s="13">
        <f>IFERROR(VLOOKUP(G170,Setup!C:D,2,FALSE),"")</f>
        <v>100000</v>
      </c>
      <c r="I170" s="6"/>
    </row>
    <row r="171" spans="1:9" ht="12.75" customHeight="1" x14ac:dyDescent="0.25">
      <c r="A171" s="6"/>
      <c r="B171" s="6">
        <v>169</v>
      </c>
      <c r="C171" s="12" t="str">
        <f t="shared" si="3"/>
        <v>KAL-169</v>
      </c>
      <c r="D171" s="46" t="s">
        <v>181</v>
      </c>
      <c r="E171" s="12" t="s">
        <v>174</v>
      </c>
      <c r="F171" s="12">
        <v>10</v>
      </c>
      <c r="G171" s="12" t="str">
        <f>IFERROR(VLOOKUP(F171,Setup!B:C,2,FALSE),"")</f>
        <v>10mbps</v>
      </c>
      <c r="H171" s="13">
        <f>IFERROR(VLOOKUP(G171,Setup!C:D,2,FALSE),"")</f>
        <v>100000</v>
      </c>
      <c r="I171" s="6"/>
    </row>
    <row r="172" spans="1:9" ht="12.75" customHeight="1" x14ac:dyDescent="0.25">
      <c r="A172" s="6"/>
      <c r="B172" s="6">
        <v>170</v>
      </c>
      <c r="C172" s="12" t="str">
        <f t="shared" si="3"/>
        <v>KAL-170</v>
      </c>
      <c r="D172" s="46" t="s">
        <v>182</v>
      </c>
      <c r="E172" s="12" t="s">
        <v>174</v>
      </c>
      <c r="F172" s="12">
        <v>10</v>
      </c>
      <c r="G172" s="12" t="str">
        <f>IFERROR(VLOOKUP(F172,Setup!B:C,2,FALSE),"")</f>
        <v>10mbps</v>
      </c>
      <c r="H172" s="13">
        <f>IFERROR(VLOOKUP(G172,Setup!C:D,2,FALSE),"")</f>
        <v>100000</v>
      </c>
      <c r="I172" s="6"/>
    </row>
    <row r="173" spans="1:9" ht="12.75" customHeight="1" x14ac:dyDescent="0.25">
      <c r="A173" s="6"/>
      <c r="B173" s="6">
        <v>171</v>
      </c>
      <c r="C173" s="12" t="str">
        <f t="shared" si="3"/>
        <v>KAL-171</v>
      </c>
      <c r="D173" s="46" t="s">
        <v>183</v>
      </c>
      <c r="E173" s="12" t="s">
        <v>174</v>
      </c>
      <c r="F173" s="12">
        <v>10</v>
      </c>
      <c r="G173" s="12" t="str">
        <f>IFERROR(VLOOKUP(F173,Setup!B:C,2,FALSE),"")</f>
        <v>10mbps</v>
      </c>
      <c r="H173" s="13">
        <f>IFERROR(VLOOKUP(G173,Setup!C:D,2,FALSE),"")</f>
        <v>100000</v>
      </c>
      <c r="I173" s="6"/>
    </row>
    <row r="174" spans="1:9" ht="12.75" customHeight="1" x14ac:dyDescent="0.25">
      <c r="A174" s="6"/>
      <c r="B174" s="6">
        <v>172</v>
      </c>
      <c r="C174" s="12" t="str">
        <f t="shared" si="3"/>
        <v>KAL-172</v>
      </c>
      <c r="D174" s="46" t="s">
        <v>184</v>
      </c>
      <c r="E174" s="12" t="s">
        <v>174</v>
      </c>
      <c r="F174" s="12">
        <v>10</v>
      </c>
      <c r="G174" s="12" t="str">
        <f>IFERROR(VLOOKUP(F174,Setup!B:C,2,FALSE),"")</f>
        <v>10mbps</v>
      </c>
      <c r="H174" s="13">
        <f>IFERROR(VLOOKUP(G174,Setup!C:D,2,FALSE),"")</f>
        <v>100000</v>
      </c>
      <c r="I174" s="6"/>
    </row>
    <row r="175" spans="1:9" ht="12.75" customHeight="1" x14ac:dyDescent="0.25">
      <c r="A175" s="6"/>
      <c r="B175" s="6">
        <v>173</v>
      </c>
      <c r="C175" s="12" t="str">
        <f t="shared" si="3"/>
        <v>AMP-173</v>
      </c>
      <c r="D175" s="46" t="s">
        <v>185</v>
      </c>
      <c r="E175" s="12" t="s">
        <v>186</v>
      </c>
      <c r="F175" s="12">
        <v>10</v>
      </c>
      <c r="G175" s="12" t="str">
        <f>IFERROR(VLOOKUP(F175,Setup!B:C,2,FALSE),"")</f>
        <v>10mbps</v>
      </c>
      <c r="H175" s="13">
        <f>IFERROR(VLOOKUP(G175,Setup!C:D,2,FALSE),"")</f>
        <v>100000</v>
      </c>
      <c r="I175" s="6"/>
    </row>
    <row r="176" spans="1:9" ht="12.75" customHeight="1" x14ac:dyDescent="0.25">
      <c r="A176" s="6"/>
      <c r="B176" s="6">
        <v>174</v>
      </c>
      <c r="C176" s="12" t="str">
        <f t="shared" si="3"/>
        <v>AMP-174</v>
      </c>
      <c r="D176" s="46" t="s">
        <v>187</v>
      </c>
      <c r="E176" s="12" t="s">
        <v>186</v>
      </c>
      <c r="F176" s="12">
        <v>10</v>
      </c>
      <c r="G176" s="12" t="str">
        <f>IFERROR(VLOOKUP(F176,Setup!B:C,2,FALSE),"")</f>
        <v>10mbps</v>
      </c>
      <c r="H176" s="13">
        <f>IFERROR(VLOOKUP(G176,Setup!C:D,2,FALSE),"")</f>
        <v>100000</v>
      </c>
      <c r="I176" s="6"/>
    </row>
    <row r="177" spans="1:9" ht="12.75" customHeight="1" x14ac:dyDescent="0.25">
      <c r="A177" s="6"/>
      <c r="B177" s="6">
        <v>175</v>
      </c>
      <c r="C177" s="12" t="str">
        <f t="shared" si="3"/>
        <v>AMP-175</v>
      </c>
      <c r="D177" s="46" t="s">
        <v>188</v>
      </c>
      <c r="E177" s="12" t="s">
        <v>189</v>
      </c>
      <c r="F177" s="12">
        <v>10</v>
      </c>
      <c r="G177" s="12" t="str">
        <f>IFERROR(VLOOKUP(F177,Setup!B:C,2,FALSE),"")</f>
        <v>10mbps</v>
      </c>
      <c r="H177" s="13">
        <f>IFERROR(VLOOKUP(G177,Setup!C:D,2,FALSE),"")</f>
        <v>100000</v>
      </c>
      <c r="I177" s="6"/>
    </row>
    <row r="178" spans="1:9" ht="12.75" customHeight="1" x14ac:dyDescent="0.25">
      <c r="A178" s="6"/>
      <c r="B178" s="6">
        <v>176</v>
      </c>
      <c r="C178" s="12" t="str">
        <f t="shared" si="3"/>
        <v>AMP-176</v>
      </c>
      <c r="D178" s="46" t="s">
        <v>190</v>
      </c>
      <c r="E178" s="12" t="s">
        <v>186</v>
      </c>
      <c r="F178" s="12">
        <v>10</v>
      </c>
      <c r="G178" s="12" t="str">
        <f>IFERROR(VLOOKUP(F178,Setup!B:C,2,FALSE),"")</f>
        <v>10mbps</v>
      </c>
      <c r="H178" s="13">
        <f>IFERROR(VLOOKUP(G178,Setup!C:D,2,FALSE),"")</f>
        <v>100000</v>
      </c>
      <c r="I178" s="6"/>
    </row>
    <row r="179" spans="1:9" ht="12.75" customHeight="1" x14ac:dyDescent="0.25">
      <c r="A179" s="6"/>
      <c r="B179" s="6">
        <v>177</v>
      </c>
      <c r="C179" s="12" t="str">
        <f t="shared" si="3"/>
        <v>SUM-177</v>
      </c>
      <c r="D179" s="46" t="s">
        <v>191</v>
      </c>
      <c r="E179" s="12" t="s">
        <v>192</v>
      </c>
      <c r="F179" s="12">
        <v>10</v>
      </c>
      <c r="G179" s="12" t="str">
        <f>IFERROR(VLOOKUP(F179,Setup!B:C,2,FALSE),"")</f>
        <v>10mbps</v>
      </c>
      <c r="H179" s="13">
        <f>IFERROR(VLOOKUP(G179,Setup!C:D,2,FALSE),"")</f>
        <v>100000</v>
      </c>
      <c r="I179" s="6"/>
    </row>
    <row r="180" spans="1:9" ht="12.75" customHeight="1" x14ac:dyDescent="0.25">
      <c r="A180" s="6"/>
      <c r="B180" s="6">
        <v>178</v>
      </c>
      <c r="C180" s="12" t="str">
        <f t="shared" si="3"/>
        <v>JAM-178</v>
      </c>
      <c r="D180" s="46" t="s">
        <v>193</v>
      </c>
      <c r="E180" s="12" t="s">
        <v>170</v>
      </c>
      <c r="F180" s="12">
        <v>10</v>
      </c>
      <c r="G180" s="12" t="str">
        <f>IFERROR(VLOOKUP(F180,Setup!B:C,2,FALSE),"")</f>
        <v>10mbps</v>
      </c>
      <c r="H180" s="13">
        <f>IFERROR(VLOOKUP(G180,Setup!C:D,2,FALSE),"")</f>
        <v>100000</v>
      </c>
      <c r="I180" s="6"/>
    </row>
    <row r="181" spans="1:9" ht="12.75" customHeight="1" x14ac:dyDescent="0.25">
      <c r="A181" s="6"/>
      <c r="B181" s="6">
        <v>179</v>
      </c>
      <c r="C181" s="12" t="str">
        <f t="shared" si="3"/>
        <v>JAM-179</v>
      </c>
      <c r="D181" s="46" t="s">
        <v>194</v>
      </c>
      <c r="E181" s="12" t="s">
        <v>114</v>
      </c>
      <c r="F181" s="12">
        <v>10</v>
      </c>
      <c r="G181" s="12" t="str">
        <f>IFERROR(VLOOKUP(F181,Setup!B:C,2,FALSE),"")</f>
        <v>10mbps</v>
      </c>
      <c r="H181" s="13">
        <v>50000</v>
      </c>
      <c r="I181" s="6"/>
    </row>
    <row r="182" spans="1:9" ht="12.75" customHeight="1" x14ac:dyDescent="0.25">
      <c r="A182" s="6"/>
      <c r="B182" s="6">
        <v>180</v>
      </c>
      <c r="C182" s="12" t="str">
        <f t="shared" si="3"/>
        <v>JAM-180</v>
      </c>
      <c r="D182" s="46" t="s">
        <v>195</v>
      </c>
      <c r="E182" s="12" t="s">
        <v>114</v>
      </c>
      <c r="F182" s="12">
        <v>10</v>
      </c>
      <c r="G182" s="12" t="str">
        <f>IFERROR(VLOOKUP(F182,Setup!B:C,2,FALSE),"")</f>
        <v>10mbps</v>
      </c>
      <c r="H182" s="13">
        <v>50000</v>
      </c>
      <c r="I182" s="6"/>
    </row>
    <row r="183" spans="1:9" ht="12.75" customHeight="1" x14ac:dyDescent="0.25">
      <c r="A183" s="6"/>
      <c r="B183" s="6">
        <v>181</v>
      </c>
      <c r="C183" s="12" t="str">
        <f t="shared" si="3"/>
        <v>JAM-181</v>
      </c>
      <c r="D183" s="46" t="s">
        <v>196</v>
      </c>
      <c r="E183" s="12" t="s">
        <v>114</v>
      </c>
      <c r="F183" s="12">
        <v>10</v>
      </c>
      <c r="G183" s="12" t="str">
        <f>IFERROR(VLOOKUP(F183,Setup!B:C,2,FALSE),"")</f>
        <v>10mbps</v>
      </c>
      <c r="H183" s="13">
        <v>50000</v>
      </c>
      <c r="I183" s="6"/>
    </row>
    <row r="184" spans="1:9" ht="12.75" customHeight="1" x14ac:dyDescent="0.25">
      <c r="A184" s="6"/>
      <c r="B184" s="6">
        <v>182</v>
      </c>
      <c r="C184" s="12" t="str">
        <f t="shared" si="3"/>
        <v>JAM-182</v>
      </c>
      <c r="D184" s="46" t="s">
        <v>197</v>
      </c>
      <c r="E184" s="12" t="s">
        <v>114</v>
      </c>
      <c r="F184" s="12">
        <v>10</v>
      </c>
      <c r="G184" s="12" t="str">
        <f>IFERROR(VLOOKUP(F184,Setup!B:C,2,FALSE),"")</f>
        <v>10mbps</v>
      </c>
      <c r="H184" s="13">
        <v>75000</v>
      </c>
      <c r="I184" s="6"/>
    </row>
    <row r="185" spans="1:9" ht="12.75" customHeight="1" x14ac:dyDescent="0.25">
      <c r="A185" s="6"/>
      <c r="B185" s="6">
        <v>183</v>
      </c>
      <c r="C185" s="12" t="str">
        <f t="shared" si="3"/>
        <v>JAM-183</v>
      </c>
      <c r="D185" s="46" t="s">
        <v>198</v>
      </c>
      <c r="E185" s="12" t="s">
        <v>114</v>
      </c>
      <c r="F185" s="12">
        <v>10</v>
      </c>
      <c r="G185" s="12" t="str">
        <f>IFERROR(VLOOKUP(F185,Setup!B:C,2,FALSE),"")</f>
        <v>10mbps</v>
      </c>
      <c r="H185" s="13">
        <v>90000</v>
      </c>
      <c r="I185" s="6"/>
    </row>
    <row r="186" spans="1:9" ht="12.75" customHeight="1" x14ac:dyDescent="0.25">
      <c r="A186" s="6"/>
      <c r="B186" s="6">
        <v>184</v>
      </c>
      <c r="C186" s="12" t="str">
        <f t="shared" si="3"/>
        <v>JAM-184</v>
      </c>
      <c r="D186" s="46" t="s">
        <v>199</v>
      </c>
      <c r="E186" s="12" t="s">
        <v>114</v>
      </c>
      <c r="F186" s="12">
        <v>20</v>
      </c>
      <c r="G186" s="12" t="str">
        <f>IFERROR(VLOOKUP(F186,Setup!B:C,2,FALSE),"")</f>
        <v>20mbps</v>
      </c>
      <c r="H186" s="13">
        <f>IFERROR(VLOOKUP(G186,Setup!C:D,2,FALSE),"")</f>
        <v>200000</v>
      </c>
      <c r="I186" s="6"/>
    </row>
    <row r="187" spans="1:9" ht="12.75" customHeight="1" x14ac:dyDescent="0.25">
      <c r="A187" s="6"/>
      <c r="B187" s="6">
        <v>185</v>
      </c>
      <c r="C187" s="12" t="str">
        <f t="shared" si="3"/>
        <v>JAM-185</v>
      </c>
      <c r="D187" s="46" t="s">
        <v>581</v>
      </c>
      <c r="E187" s="12" t="s">
        <v>114</v>
      </c>
      <c r="F187" s="12">
        <v>10</v>
      </c>
      <c r="G187" s="12" t="str">
        <f>IFERROR(VLOOKUP(F187,Setup!B:C,2,FALSE),"")</f>
        <v>10mbps</v>
      </c>
      <c r="H187" s="13">
        <f>IFERROR(VLOOKUP(G187,Setup!C:D,2,FALSE),"")</f>
        <v>100000</v>
      </c>
      <c r="I187" s="6"/>
    </row>
    <row r="188" spans="1:9" ht="12.75" customHeight="1" x14ac:dyDescent="0.25">
      <c r="A188" s="6"/>
      <c r="B188" s="6">
        <v>186</v>
      </c>
      <c r="C188" s="12" t="str">
        <f t="shared" si="3"/>
        <v>JAM-186</v>
      </c>
      <c r="D188" s="46" t="s">
        <v>580</v>
      </c>
      <c r="E188" s="12" t="s">
        <v>114</v>
      </c>
      <c r="F188" s="12">
        <v>10</v>
      </c>
      <c r="G188" s="12" t="str">
        <f>IFERROR(VLOOKUP(F188,Setup!B:C,2,FALSE),"")</f>
        <v>10mbps</v>
      </c>
      <c r="H188" s="13">
        <f>IFERROR(VLOOKUP(G188,Setup!C:D,2,FALSE),"")</f>
        <v>100000</v>
      </c>
      <c r="I188" s="6"/>
    </row>
    <row r="189" spans="1:9" ht="12.75" customHeight="1" x14ac:dyDescent="0.25">
      <c r="A189" s="6"/>
      <c r="B189" s="6">
        <v>187</v>
      </c>
      <c r="C189" s="12" t="str">
        <f t="shared" si="3"/>
        <v>JAM-187</v>
      </c>
      <c r="D189" s="46" t="s">
        <v>579</v>
      </c>
      <c r="E189" s="12" t="s">
        <v>114</v>
      </c>
      <c r="F189" s="12">
        <v>10</v>
      </c>
      <c r="G189" s="12" t="str">
        <f>IFERROR(VLOOKUP(F189,Setup!B:C,2,FALSE),"")</f>
        <v>10mbps</v>
      </c>
      <c r="H189" s="13">
        <f>IFERROR(VLOOKUP(G189,Setup!C:D,2,FALSE),"")</f>
        <v>100000</v>
      </c>
      <c r="I189" s="6"/>
    </row>
    <row r="190" spans="1:9" ht="12.75" customHeight="1" x14ac:dyDescent="0.25">
      <c r="A190" s="6"/>
      <c r="B190" s="6">
        <v>188</v>
      </c>
      <c r="C190" s="12" t="str">
        <f t="shared" si="3"/>
        <v>JAM-188</v>
      </c>
      <c r="D190" s="46" t="s">
        <v>200</v>
      </c>
      <c r="E190" s="12" t="s">
        <v>114</v>
      </c>
      <c r="F190" s="12">
        <v>20</v>
      </c>
      <c r="G190" s="12" t="str">
        <f>IFERROR(VLOOKUP(F190,Setup!B:C,2,FALSE),"")</f>
        <v>20mbps</v>
      </c>
      <c r="H190" s="13">
        <f>IFERROR(VLOOKUP(G190,Setup!C:D,2,FALSE),"")</f>
        <v>200000</v>
      </c>
      <c r="I190" s="6"/>
    </row>
    <row r="191" spans="1:9" ht="12.75" customHeight="1" x14ac:dyDescent="0.25">
      <c r="A191" s="6"/>
      <c r="B191" s="6">
        <v>189</v>
      </c>
      <c r="C191" s="12" t="str">
        <f t="shared" si="3"/>
        <v>JAM-189</v>
      </c>
      <c r="D191" s="46" t="s">
        <v>201</v>
      </c>
      <c r="E191" s="12" t="s">
        <v>114</v>
      </c>
      <c r="F191" s="12">
        <v>10</v>
      </c>
      <c r="G191" s="12" t="str">
        <f>IFERROR(VLOOKUP(F191,Setup!B:C,2,FALSE),"")</f>
        <v>10mbps</v>
      </c>
      <c r="H191" s="13">
        <f>IFERROR(VLOOKUP(G191,Setup!C:D,2,FALSE),"")</f>
        <v>100000</v>
      </c>
      <c r="I191" s="6"/>
    </row>
    <row r="192" spans="1:9" ht="12.75" customHeight="1" x14ac:dyDescent="0.25">
      <c r="A192" s="6"/>
      <c r="B192" s="6">
        <v>190</v>
      </c>
      <c r="C192" s="12" t="str">
        <f t="shared" si="3"/>
        <v>JAM-190</v>
      </c>
      <c r="D192" s="46" t="s">
        <v>202</v>
      </c>
      <c r="E192" s="12" t="s">
        <v>114</v>
      </c>
      <c r="F192" s="12">
        <v>10</v>
      </c>
      <c r="G192" s="12" t="str">
        <f>IFERROR(VLOOKUP(F192,Setup!B:C,2,FALSE),"")</f>
        <v>10mbps</v>
      </c>
      <c r="H192" s="13">
        <v>75000</v>
      </c>
      <c r="I192" s="6"/>
    </row>
    <row r="193" spans="1:9" ht="12.75" customHeight="1" x14ac:dyDescent="0.25">
      <c r="A193" s="6"/>
      <c r="B193" s="6">
        <v>191</v>
      </c>
      <c r="C193" s="12" t="str">
        <f t="shared" si="3"/>
        <v>JAM-191</v>
      </c>
      <c r="D193" s="46" t="s">
        <v>203</v>
      </c>
      <c r="E193" s="12" t="s">
        <v>114</v>
      </c>
      <c r="F193" s="12">
        <v>10</v>
      </c>
      <c r="G193" s="12" t="str">
        <f>IFERROR(VLOOKUP(F193,Setup!B:C,2,FALSE),"")</f>
        <v>10mbps</v>
      </c>
      <c r="H193" s="13">
        <f>IFERROR(VLOOKUP(G193,Setup!C:D,2,FALSE),"")</f>
        <v>100000</v>
      </c>
      <c r="I193" s="6"/>
    </row>
    <row r="194" spans="1:9" ht="12.75" customHeight="1" x14ac:dyDescent="0.25">
      <c r="A194" s="6"/>
      <c r="B194" s="6">
        <v>192</v>
      </c>
      <c r="C194" s="12" t="str">
        <f t="shared" si="3"/>
        <v>JAM-192</v>
      </c>
      <c r="D194" s="46" t="s">
        <v>204</v>
      </c>
      <c r="E194" s="12" t="s">
        <v>114</v>
      </c>
      <c r="F194" s="12">
        <v>10</v>
      </c>
      <c r="G194" s="12" t="str">
        <f>IFERROR(VLOOKUP(F194,Setup!B:C,2,FALSE),"")</f>
        <v>10mbps</v>
      </c>
      <c r="H194" s="13">
        <f>IFERROR(VLOOKUP(G194,Setup!C:D,2,FALSE),"")</f>
        <v>100000</v>
      </c>
      <c r="I194" s="6"/>
    </row>
    <row r="195" spans="1:9" ht="12.75" customHeight="1" x14ac:dyDescent="0.25">
      <c r="A195" s="6"/>
      <c r="B195" s="6">
        <v>193</v>
      </c>
      <c r="C195" s="12" t="str">
        <f t="shared" si="3"/>
        <v>JAM-193</v>
      </c>
      <c r="D195" s="46" t="s">
        <v>205</v>
      </c>
      <c r="E195" s="12" t="s">
        <v>114</v>
      </c>
      <c r="F195" s="12">
        <v>10</v>
      </c>
      <c r="G195" s="12" t="str">
        <f>IFERROR(VLOOKUP(F195,Setup!B:C,2,FALSE),"")</f>
        <v>10mbps</v>
      </c>
      <c r="H195" s="13">
        <f>IFERROR(VLOOKUP(G195,Setup!C:D,2,FALSE),"")</f>
        <v>100000</v>
      </c>
      <c r="I195" s="6"/>
    </row>
    <row r="196" spans="1:9" ht="12.75" customHeight="1" x14ac:dyDescent="0.25">
      <c r="A196" s="6"/>
      <c r="B196" s="6">
        <v>194</v>
      </c>
      <c r="C196" s="12" t="str">
        <f t="shared" si="3"/>
        <v>JAM-194</v>
      </c>
      <c r="D196" s="46" t="s">
        <v>206</v>
      </c>
      <c r="E196" s="12" t="s">
        <v>114</v>
      </c>
      <c r="F196" s="12">
        <v>10</v>
      </c>
      <c r="G196" s="12" t="str">
        <f>IFERROR(VLOOKUP(F196,Setup!B:C,2,FALSE),"")</f>
        <v>10mbps</v>
      </c>
      <c r="H196" s="13">
        <f>IFERROR(VLOOKUP(G196,Setup!C:D,2,FALSE),"")</f>
        <v>100000</v>
      </c>
      <c r="I196" s="6"/>
    </row>
    <row r="197" spans="1:9" ht="12.75" customHeight="1" x14ac:dyDescent="0.25">
      <c r="A197" s="6"/>
      <c r="B197" s="6">
        <v>195</v>
      </c>
      <c r="C197" s="12" t="str">
        <f t="shared" si="3"/>
        <v>JAM-195</v>
      </c>
      <c r="D197" s="46" t="s">
        <v>207</v>
      </c>
      <c r="E197" s="12" t="s">
        <v>114</v>
      </c>
      <c r="F197" s="12">
        <v>10</v>
      </c>
      <c r="G197" s="12" t="str">
        <f>IFERROR(VLOOKUP(F197,Setup!B:C,2,FALSE),"")</f>
        <v>10mbps</v>
      </c>
      <c r="H197" s="13">
        <f>IFERROR(VLOOKUP(G197,Setup!C:D,2,FALSE),"")</f>
        <v>100000</v>
      </c>
      <c r="I197" s="6"/>
    </row>
    <row r="198" spans="1:9" ht="12.75" customHeight="1" x14ac:dyDescent="0.25">
      <c r="A198" s="6"/>
      <c r="B198" s="6">
        <v>196</v>
      </c>
      <c r="C198" s="12" t="str">
        <f t="shared" si="3"/>
        <v>JAM-196</v>
      </c>
      <c r="D198" s="46" t="s">
        <v>208</v>
      </c>
      <c r="E198" s="12" t="s">
        <v>114</v>
      </c>
      <c r="F198" s="12">
        <v>20</v>
      </c>
      <c r="G198" s="12" t="str">
        <f>IFERROR(VLOOKUP(F198,Setup!B:C,2,FALSE),"")</f>
        <v>20mbps</v>
      </c>
      <c r="H198" s="13">
        <v>150000</v>
      </c>
      <c r="I198" s="6"/>
    </row>
    <row r="199" spans="1:9" ht="12.75" customHeight="1" x14ac:dyDescent="0.25">
      <c r="A199" s="6"/>
      <c r="B199" s="6">
        <v>197</v>
      </c>
      <c r="C199" s="12" t="str">
        <f t="shared" si="3"/>
        <v>JAM-197</v>
      </c>
      <c r="D199" s="46" t="s">
        <v>209</v>
      </c>
      <c r="E199" s="12" t="s">
        <v>114</v>
      </c>
      <c r="F199" s="12">
        <v>10</v>
      </c>
      <c r="G199" s="12" t="str">
        <f>IFERROR(VLOOKUP(F199,Setup!B:C,2,FALSE),"")</f>
        <v>10mbps</v>
      </c>
      <c r="H199" s="13">
        <v>75000</v>
      </c>
      <c r="I199" s="6"/>
    </row>
    <row r="200" spans="1:9" ht="12.75" customHeight="1" x14ac:dyDescent="0.25">
      <c r="A200" s="6"/>
      <c r="B200" s="6">
        <v>198</v>
      </c>
      <c r="C200" s="12" t="str">
        <f t="shared" si="3"/>
        <v>JAM-198</v>
      </c>
      <c r="D200" s="46" t="s">
        <v>210</v>
      </c>
      <c r="E200" s="12" t="s">
        <v>114</v>
      </c>
      <c r="F200" s="12">
        <v>10</v>
      </c>
      <c r="G200" s="12" t="str">
        <f>IFERROR(VLOOKUP(F200,Setup!B:C,2,FALSE),"")</f>
        <v>10mbps</v>
      </c>
      <c r="H200" s="13">
        <f>IFERROR(VLOOKUP(G200,Setup!C:D,2,FALSE),"")</f>
        <v>100000</v>
      </c>
      <c r="I200" s="6"/>
    </row>
    <row r="201" spans="1:9" ht="12.75" customHeight="1" x14ac:dyDescent="0.25">
      <c r="A201" s="6"/>
      <c r="B201" s="6">
        <v>199</v>
      </c>
      <c r="C201" s="12" t="str">
        <f t="shared" si="3"/>
        <v>JAM-199</v>
      </c>
      <c r="D201" s="46" t="s">
        <v>211</v>
      </c>
      <c r="E201" s="12" t="s">
        <v>114</v>
      </c>
      <c r="F201" s="12">
        <v>10</v>
      </c>
      <c r="G201" s="12" t="str">
        <f>IFERROR(VLOOKUP(F201,Setup!B:C,2,FALSE),"")</f>
        <v>10mbps</v>
      </c>
      <c r="H201" s="13">
        <f>IFERROR(VLOOKUP(G201,Setup!C:D,2,FALSE),"")</f>
        <v>100000</v>
      </c>
      <c r="I201" s="6"/>
    </row>
    <row r="202" spans="1:9" ht="12.75" customHeight="1" x14ac:dyDescent="0.25">
      <c r="A202" s="6"/>
      <c r="B202" s="6">
        <v>200</v>
      </c>
      <c r="C202" s="12" t="str">
        <f t="shared" ref="C202:C266" si="4">IF(D202="","",LEFT(SUBSTITUTE(UPPER(E202)," ",""),3)&amp;"-"&amp;TEXT(B202,"000"))</f>
        <v>JAM-200</v>
      </c>
      <c r="D202" s="46" t="s">
        <v>212</v>
      </c>
      <c r="E202" s="12" t="s">
        <v>114</v>
      </c>
      <c r="F202" s="12">
        <v>10</v>
      </c>
      <c r="G202" s="12" t="str">
        <f>IFERROR(VLOOKUP(F202,Setup!B:C,2,FALSE),"")</f>
        <v>10mbps</v>
      </c>
      <c r="H202" s="13">
        <v>75000</v>
      </c>
      <c r="I202" s="6"/>
    </row>
    <row r="203" spans="1:9" ht="12.75" customHeight="1" x14ac:dyDescent="0.25">
      <c r="A203" s="6"/>
      <c r="B203" s="6">
        <v>201</v>
      </c>
      <c r="C203" s="12" t="str">
        <f t="shared" si="4"/>
        <v>JAM-201</v>
      </c>
      <c r="D203" s="46" t="s">
        <v>213</v>
      </c>
      <c r="E203" s="12" t="s">
        <v>114</v>
      </c>
      <c r="F203" s="12">
        <v>10</v>
      </c>
      <c r="G203" s="12" t="str">
        <f>IFERROR(VLOOKUP(F203,Setup!B:C,2,FALSE),"")</f>
        <v>10mbps</v>
      </c>
      <c r="H203" s="13">
        <f>IFERROR(VLOOKUP(G203,Setup!C:D,2,FALSE),"")</f>
        <v>100000</v>
      </c>
      <c r="I203" s="6"/>
    </row>
    <row r="204" spans="1:9" ht="12.75" customHeight="1" x14ac:dyDescent="0.25">
      <c r="A204" s="6"/>
      <c r="B204" s="6">
        <v>202</v>
      </c>
      <c r="C204" s="12" t="str">
        <f t="shared" si="4"/>
        <v>JAM-202</v>
      </c>
      <c r="D204" s="46" t="s">
        <v>584</v>
      </c>
      <c r="E204" s="12" t="s">
        <v>114</v>
      </c>
      <c r="F204" s="12">
        <v>20</v>
      </c>
      <c r="G204" s="12" t="str">
        <f>IFERROR(VLOOKUP(F204,Setup!B:C,2,FALSE),"")</f>
        <v>20mbps</v>
      </c>
      <c r="H204" s="13">
        <f>IFERROR(VLOOKUP(G204,Setup!C:D,2,FALSE),"")</f>
        <v>200000</v>
      </c>
      <c r="I204" s="6"/>
    </row>
    <row r="205" spans="1:9" ht="12.75" customHeight="1" x14ac:dyDescent="0.25">
      <c r="A205" s="6"/>
      <c r="B205" s="6">
        <v>203</v>
      </c>
      <c r="C205" s="12" t="str">
        <f t="shared" si="4"/>
        <v>JAM-203</v>
      </c>
      <c r="D205" s="46" t="s">
        <v>214</v>
      </c>
      <c r="E205" s="12" t="s">
        <v>114</v>
      </c>
      <c r="F205" s="12">
        <v>10</v>
      </c>
      <c r="G205" s="12" t="str">
        <f>IFERROR(VLOOKUP(F205,Setup!B:C,2,FALSE),"")</f>
        <v>10mbps</v>
      </c>
      <c r="H205" s="13" t="s">
        <v>552</v>
      </c>
      <c r="I205" s="6"/>
    </row>
    <row r="206" spans="1:9" ht="12.75" customHeight="1" x14ac:dyDescent="0.25">
      <c r="A206" s="6"/>
      <c r="B206" s="6">
        <v>204</v>
      </c>
      <c r="C206" s="12" t="str">
        <f t="shared" si="4"/>
        <v>JAM-204</v>
      </c>
      <c r="D206" s="46" t="s">
        <v>215</v>
      </c>
      <c r="E206" s="12" t="s">
        <v>114</v>
      </c>
      <c r="F206" s="12">
        <v>10</v>
      </c>
      <c r="G206" s="12" t="str">
        <f>IFERROR(VLOOKUP(F206,Setup!B:C,2,FALSE),"")</f>
        <v>10mbps</v>
      </c>
      <c r="H206" s="13" t="s">
        <v>552</v>
      </c>
      <c r="I206" s="6"/>
    </row>
    <row r="207" spans="1:9" ht="12.75" customHeight="1" x14ac:dyDescent="0.25">
      <c r="A207" s="6"/>
      <c r="B207" s="6">
        <v>205</v>
      </c>
      <c r="C207" s="12" t="str">
        <f t="shared" si="4"/>
        <v>KAL-205</v>
      </c>
      <c r="D207" s="46" t="s">
        <v>216</v>
      </c>
      <c r="E207" s="12" t="s">
        <v>174</v>
      </c>
      <c r="F207" s="12">
        <v>10</v>
      </c>
      <c r="G207" s="12" t="str">
        <f>IFERROR(VLOOKUP(F207,Setup!B:C,2,FALSE),"")</f>
        <v>10mbps</v>
      </c>
      <c r="H207" s="13" t="s">
        <v>552</v>
      </c>
      <c r="I207" s="6"/>
    </row>
    <row r="208" spans="1:9" ht="12.75" customHeight="1" x14ac:dyDescent="0.25">
      <c r="A208" s="6"/>
      <c r="B208" s="6">
        <v>206</v>
      </c>
      <c r="C208" s="12" t="str">
        <f t="shared" si="4"/>
        <v>JAM-206</v>
      </c>
      <c r="D208" s="46" t="s">
        <v>217</v>
      </c>
      <c r="E208" s="12" t="s">
        <v>114</v>
      </c>
      <c r="F208" s="12">
        <v>10</v>
      </c>
      <c r="G208" s="12" t="str">
        <f>IFERROR(VLOOKUP(F208,Setup!B:C,2,FALSE),"")</f>
        <v>10mbps</v>
      </c>
      <c r="H208" s="13" t="s">
        <v>552</v>
      </c>
      <c r="I208" s="6"/>
    </row>
    <row r="209" spans="1:9" ht="12.75" customHeight="1" x14ac:dyDescent="0.25">
      <c r="A209" s="6"/>
      <c r="B209" s="6">
        <v>207</v>
      </c>
      <c r="C209" s="12" t="str">
        <f t="shared" si="4"/>
        <v>JAM-207</v>
      </c>
      <c r="D209" s="50" t="s">
        <v>553</v>
      </c>
      <c r="E209" s="12" t="s">
        <v>114</v>
      </c>
      <c r="F209" s="12">
        <v>10</v>
      </c>
      <c r="G209" s="12" t="str">
        <f>IFERROR(VLOOKUP(F209,Setup!B:C,2,FALSE),"")</f>
        <v>10mbps</v>
      </c>
      <c r="H209" s="13">
        <f>IFERROR(VLOOKUP(G209,Setup!C:D,2,FALSE),"")</f>
        <v>100000</v>
      </c>
      <c r="I209" s="6"/>
    </row>
    <row r="210" spans="1:9" ht="12.75" customHeight="1" x14ac:dyDescent="0.25">
      <c r="A210" s="6"/>
      <c r="B210" s="6">
        <v>208</v>
      </c>
      <c r="C210" s="12" t="str">
        <f t="shared" si="4"/>
        <v>AMP-208</v>
      </c>
      <c r="D210" s="46" t="s">
        <v>218</v>
      </c>
      <c r="E210" s="12" t="s">
        <v>186</v>
      </c>
      <c r="F210" s="12">
        <v>10</v>
      </c>
      <c r="G210" s="12" t="str">
        <f>IFERROR(VLOOKUP(F210,Setup!B:C,2,FALSE),"")</f>
        <v>10mbps</v>
      </c>
      <c r="H210" s="13">
        <f>IFERROR(VLOOKUP(G210,Setup!C:D,2,FALSE),"")</f>
        <v>100000</v>
      </c>
      <c r="I210" s="6"/>
    </row>
    <row r="211" spans="1:9" ht="12.75" customHeight="1" x14ac:dyDescent="0.25">
      <c r="A211" s="6"/>
      <c r="B211" s="6">
        <v>209</v>
      </c>
      <c r="C211" s="12" t="str">
        <f t="shared" si="4"/>
        <v>AMP-209</v>
      </c>
      <c r="D211" s="46" t="s">
        <v>219</v>
      </c>
      <c r="E211" s="12" t="s">
        <v>186</v>
      </c>
      <c r="F211" s="12">
        <v>10</v>
      </c>
      <c r="G211" s="12" t="str">
        <f>IFERROR(VLOOKUP(F211,Setup!B:C,2,FALSE),"")</f>
        <v>10mbps</v>
      </c>
      <c r="H211" s="13">
        <f>IFERROR(VLOOKUP(G211,Setup!C:D,2,FALSE),"")</f>
        <v>100000</v>
      </c>
      <c r="I211" s="6"/>
    </row>
    <row r="212" spans="1:9" ht="12.75" customHeight="1" x14ac:dyDescent="0.25">
      <c r="A212" s="6"/>
      <c r="B212" s="6">
        <v>210</v>
      </c>
      <c r="C212" s="12" t="str">
        <f t="shared" si="4"/>
        <v>AMP-210</v>
      </c>
      <c r="D212" s="46" t="s">
        <v>220</v>
      </c>
      <c r="E212" s="12" t="s">
        <v>186</v>
      </c>
      <c r="F212" s="12">
        <v>10</v>
      </c>
      <c r="G212" s="12" t="str">
        <f>IFERROR(VLOOKUP(F212,Setup!B:C,2,FALSE),"")</f>
        <v>10mbps</v>
      </c>
      <c r="H212" s="13">
        <f>IFERROR(VLOOKUP(G212,Setup!C:D,2,FALSE),"")</f>
        <v>100000</v>
      </c>
      <c r="I212" s="6"/>
    </row>
    <row r="213" spans="1:9" ht="12.75" customHeight="1" x14ac:dyDescent="0.25">
      <c r="A213" s="6"/>
      <c r="B213" s="6">
        <v>211</v>
      </c>
      <c r="C213" s="12" t="str">
        <f t="shared" si="4"/>
        <v>AMP-211</v>
      </c>
      <c r="D213" s="46" t="s">
        <v>221</v>
      </c>
      <c r="E213" s="12" t="s">
        <v>186</v>
      </c>
      <c r="F213" s="12">
        <v>10</v>
      </c>
      <c r="G213" s="12" t="str">
        <f>IFERROR(VLOOKUP(F213,Setup!B:C,2,FALSE),"")</f>
        <v>10mbps</v>
      </c>
      <c r="H213" s="13">
        <f>IFERROR(VLOOKUP(G213,Setup!C:D,2,FALSE),"")</f>
        <v>100000</v>
      </c>
      <c r="I213" s="6"/>
    </row>
    <row r="214" spans="1:9" ht="12.75" customHeight="1" x14ac:dyDescent="0.25">
      <c r="A214" s="6"/>
      <c r="B214" s="6">
        <v>212</v>
      </c>
      <c r="C214" s="12" t="str">
        <f t="shared" si="4"/>
        <v>AMP-212</v>
      </c>
      <c r="D214" s="46" t="s">
        <v>222</v>
      </c>
      <c r="E214" s="12" t="s">
        <v>186</v>
      </c>
      <c r="F214" s="12">
        <v>10</v>
      </c>
      <c r="G214" s="12" t="str">
        <f>IFERROR(VLOOKUP(F214,Setup!B:C,2,FALSE),"")</f>
        <v>10mbps</v>
      </c>
      <c r="H214" s="13">
        <f>IFERROR(VLOOKUP(G214,Setup!C:D,2,FALSE),"")</f>
        <v>100000</v>
      </c>
      <c r="I214" s="6"/>
    </row>
    <row r="215" spans="1:9" ht="12.75" customHeight="1" x14ac:dyDescent="0.25">
      <c r="A215" s="6"/>
      <c r="B215" s="6">
        <v>213</v>
      </c>
      <c r="C215" s="12" t="str">
        <f t="shared" si="4"/>
        <v>AMP-213</v>
      </c>
      <c r="D215" s="46" t="s">
        <v>223</v>
      </c>
      <c r="E215" s="12" t="s">
        <v>186</v>
      </c>
      <c r="F215" s="12">
        <v>10</v>
      </c>
      <c r="G215" s="12" t="str">
        <f>IFERROR(VLOOKUP(F215,Setup!B:C,2,FALSE),"")</f>
        <v>10mbps</v>
      </c>
      <c r="H215" s="13">
        <f>IFERROR(VLOOKUP(G215,Setup!C:D,2,FALSE),"")</f>
        <v>100000</v>
      </c>
      <c r="I215" s="6"/>
    </row>
    <row r="216" spans="1:9" ht="12.75" customHeight="1" x14ac:dyDescent="0.25">
      <c r="A216" s="6"/>
      <c r="B216" s="6">
        <v>214</v>
      </c>
      <c r="C216" s="12" t="str">
        <f t="shared" si="4"/>
        <v>AMP-214</v>
      </c>
      <c r="D216" s="46" t="s">
        <v>224</v>
      </c>
      <c r="E216" s="12" t="s">
        <v>186</v>
      </c>
      <c r="F216" s="12">
        <v>10</v>
      </c>
      <c r="G216" s="12" t="str">
        <f>IFERROR(VLOOKUP(F216,Setup!B:C,2,FALSE),"")</f>
        <v>10mbps</v>
      </c>
      <c r="H216" s="13">
        <f>IFERROR(VLOOKUP(G216,Setup!C:D,2,FALSE),"")</f>
        <v>100000</v>
      </c>
      <c r="I216" s="6"/>
    </row>
    <row r="217" spans="1:9" ht="12.75" customHeight="1" x14ac:dyDescent="0.25">
      <c r="A217" s="6"/>
      <c r="B217" s="6">
        <v>215</v>
      </c>
      <c r="C217" s="12" t="str">
        <f t="shared" si="4"/>
        <v>AMP-215</v>
      </c>
      <c r="D217" s="46" t="s">
        <v>225</v>
      </c>
      <c r="E217" s="12" t="s">
        <v>186</v>
      </c>
      <c r="F217" s="12">
        <v>10</v>
      </c>
      <c r="G217" s="12" t="str">
        <f>IFERROR(VLOOKUP(F217,Setup!B:C,2,FALSE),"")</f>
        <v>10mbps</v>
      </c>
      <c r="H217" s="13">
        <f>IFERROR(VLOOKUP(G217,Setup!C:D,2,FALSE),"")</f>
        <v>100000</v>
      </c>
      <c r="I217" s="6"/>
    </row>
    <row r="218" spans="1:9" ht="12.75" customHeight="1" x14ac:dyDescent="0.25">
      <c r="A218" s="6"/>
      <c r="B218" s="6">
        <v>216</v>
      </c>
      <c r="C218" s="12" t="str">
        <f t="shared" si="4"/>
        <v>AMP-216</v>
      </c>
      <c r="D218" s="46" t="s">
        <v>226</v>
      </c>
      <c r="E218" s="12" t="s">
        <v>186</v>
      </c>
      <c r="F218" s="12">
        <v>10</v>
      </c>
      <c r="G218" s="12" t="str">
        <f>IFERROR(VLOOKUP(F218,Setup!B:C,2,FALSE),"")</f>
        <v>10mbps</v>
      </c>
      <c r="H218" s="13">
        <f>IFERROR(VLOOKUP(G218,Setup!C:D,2,FALSE),"")</f>
        <v>100000</v>
      </c>
      <c r="I218" s="6"/>
    </row>
    <row r="219" spans="1:9" ht="12.75" customHeight="1" x14ac:dyDescent="0.25">
      <c r="A219" s="6"/>
      <c r="B219" s="6">
        <v>217</v>
      </c>
      <c r="C219" s="12" t="str">
        <f t="shared" si="4"/>
        <v>AMP-217</v>
      </c>
      <c r="D219" s="46" t="s">
        <v>227</v>
      </c>
      <c r="E219" s="12" t="s">
        <v>186</v>
      </c>
      <c r="F219" s="12">
        <v>10</v>
      </c>
      <c r="G219" s="12" t="str">
        <f>IFERROR(VLOOKUP(F219,Setup!B:C,2,FALSE),"")</f>
        <v>10mbps</v>
      </c>
      <c r="H219" s="13">
        <f>IFERROR(VLOOKUP(G219,Setup!C:D,2,FALSE),"")</f>
        <v>100000</v>
      </c>
      <c r="I219" s="6"/>
    </row>
    <row r="220" spans="1:9" ht="12.75" customHeight="1" x14ac:dyDescent="0.25">
      <c r="A220" s="6"/>
      <c r="B220" s="6">
        <v>218</v>
      </c>
      <c r="C220" s="12" t="str">
        <f t="shared" si="4"/>
        <v>AMP-218</v>
      </c>
      <c r="D220" s="46" t="s">
        <v>228</v>
      </c>
      <c r="E220" s="12" t="s">
        <v>186</v>
      </c>
      <c r="F220" s="12">
        <v>10</v>
      </c>
      <c r="G220" s="12" t="str">
        <f>IFERROR(VLOOKUP(F220,Setup!B:C,2,FALSE),"")</f>
        <v>10mbps</v>
      </c>
      <c r="H220" s="13">
        <f>IFERROR(VLOOKUP(G220,Setup!C:D,2,FALSE),"")</f>
        <v>100000</v>
      </c>
      <c r="I220" s="6"/>
    </row>
    <row r="221" spans="1:9" ht="12.75" customHeight="1" x14ac:dyDescent="0.25">
      <c r="A221" s="6"/>
      <c r="B221" s="6">
        <v>219</v>
      </c>
      <c r="C221" s="12" t="str">
        <f t="shared" si="4"/>
        <v>AMP-219</v>
      </c>
      <c r="D221" s="46" t="s">
        <v>229</v>
      </c>
      <c r="E221" s="12" t="s">
        <v>230</v>
      </c>
      <c r="F221" s="12">
        <v>10</v>
      </c>
      <c r="G221" s="12" t="str">
        <f>IFERROR(VLOOKUP(F221,Setup!B:C,2,FALSE),"")</f>
        <v>10mbps</v>
      </c>
      <c r="H221" s="13">
        <f>IFERROR(VLOOKUP(G221,Setup!C:D,2,FALSE),"")</f>
        <v>100000</v>
      </c>
      <c r="I221" s="6"/>
    </row>
    <row r="222" spans="1:9" ht="12.75" customHeight="1" x14ac:dyDescent="0.25">
      <c r="A222" s="6"/>
      <c r="B222" s="6">
        <v>220</v>
      </c>
      <c r="C222" s="12" t="str">
        <f t="shared" si="4"/>
        <v>AMP-220</v>
      </c>
      <c r="D222" s="46" t="s">
        <v>231</v>
      </c>
      <c r="E222" s="12" t="s">
        <v>186</v>
      </c>
      <c r="F222" s="12">
        <v>10</v>
      </c>
      <c r="G222" s="12" t="str">
        <f>IFERROR(VLOOKUP(F222,Setup!B:C,2,FALSE),"")</f>
        <v>10mbps</v>
      </c>
      <c r="H222" s="13">
        <f>IFERROR(VLOOKUP(G222,Setup!C:D,2,FALSE),"")</f>
        <v>100000</v>
      </c>
      <c r="I222" s="6"/>
    </row>
    <row r="223" spans="1:9" ht="12.75" customHeight="1" x14ac:dyDescent="0.25">
      <c r="A223" s="6"/>
      <c r="B223" s="6">
        <v>221</v>
      </c>
      <c r="C223" s="12" t="str">
        <f t="shared" si="4"/>
        <v>AMP-221</v>
      </c>
      <c r="D223" s="46" t="s">
        <v>232</v>
      </c>
      <c r="E223" s="12" t="s">
        <v>186</v>
      </c>
      <c r="F223" s="12">
        <v>10</v>
      </c>
      <c r="G223" s="12" t="str">
        <f>IFERROR(VLOOKUP(F223,Setup!B:C,2,FALSE),"")</f>
        <v>10mbps</v>
      </c>
      <c r="H223" s="13">
        <f>IFERROR(VLOOKUP(G223,Setup!C:D,2,FALSE),"")</f>
        <v>100000</v>
      </c>
      <c r="I223" s="6"/>
    </row>
    <row r="224" spans="1:9" ht="12.75" customHeight="1" x14ac:dyDescent="0.25">
      <c r="A224" s="6"/>
      <c r="B224" s="6">
        <v>222</v>
      </c>
      <c r="C224" s="12" t="str">
        <f t="shared" si="4"/>
        <v>AMP-222</v>
      </c>
      <c r="D224" s="46" t="s">
        <v>233</v>
      </c>
      <c r="E224" s="12" t="s">
        <v>186</v>
      </c>
      <c r="F224" s="12">
        <v>10</v>
      </c>
      <c r="G224" s="12" t="str">
        <f>IFERROR(VLOOKUP(F224,Setup!B:C,2,FALSE),"")</f>
        <v>10mbps</v>
      </c>
      <c r="H224" s="13">
        <f>IFERROR(VLOOKUP(G224,Setup!C:D,2,FALSE),"")</f>
        <v>100000</v>
      </c>
      <c r="I224" s="6"/>
    </row>
    <row r="225" spans="1:9" ht="12.75" customHeight="1" x14ac:dyDescent="0.25">
      <c r="A225" s="6"/>
      <c r="B225" s="6">
        <v>223</v>
      </c>
      <c r="C225" s="12" t="str">
        <f t="shared" si="4"/>
        <v>AMP-223</v>
      </c>
      <c r="D225" s="46" t="s">
        <v>234</v>
      </c>
      <c r="E225" s="12" t="s">
        <v>186</v>
      </c>
      <c r="F225" s="12">
        <v>10</v>
      </c>
      <c r="G225" s="12" t="str">
        <f>IFERROR(VLOOKUP(F225,Setup!B:C,2,FALSE),"")</f>
        <v>10mbps</v>
      </c>
      <c r="H225" s="13">
        <f>IFERROR(VLOOKUP(G225,Setup!C:D,2,FALSE),"")</f>
        <v>100000</v>
      </c>
      <c r="I225" s="6"/>
    </row>
    <row r="226" spans="1:9" ht="12.75" customHeight="1" x14ac:dyDescent="0.25">
      <c r="A226" s="6"/>
      <c r="B226" s="6">
        <v>224</v>
      </c>
      <c r="C226" s="12" t="str">
        <f t="shared" si="4"/>
        <v>AMP-224</v>
      </c>
      <c r="D226" s="46" t="s">
        <v>235</v>
      </c>
      <c r="E226" s="12" t="s">
        <v>186</v>
      </c>
      <c r="F226" s="12">
        <v>10</v>
      </c>
      <c r="G226" s="12" t="str">
        <f>IFERROR(VLOOKUP(F226,Setup!B:C,2,FALSE),"")</f>
        <v>10mbps</v>
      </c>
      <c r="H226" s="13">
        <f>IFERROR(VLOOKUP(G226,Setup!C:D,2,FALSE),"")</f>
        <v>100000</v>
      </c>
      <c r="I226" s="6"/>
    </row>
    <row r="227" spans="1:9" ht="12.75" customHeight="1" x14ac:dyDescent="0.25">
      <c r="A227" s="6"/>
      <c r="B227" s="6">
        <v>225</v>
      </c>
      <c r="C227" s="12" t="str">
        <f t="shared" si="4"/>
        <v>AMP-225</v>
      </c>
      <c r="D227" s="46" t="s">
        <v>236</v>
      </c>
      <c r="E227" s="12" t="s">
        <v>186</v>
      </c>
      <c r="F227" s="12">
        <v>10</v>
      </c>
      <c r="G227" s="12" t="str">
        <f>IFERROR(VLOOKUP(F227,Setup!B:C,2,FALSE),"")</f>
        <v>10mbps</v>
      </c>
      <c r="H227" s="13">
        <f>IFERROR(VLOOKUP(G227,Setup!C:D,2,FALSE),"")</f>
        <v>100000</v>
      </c>
      <c r="I227" s="6"/>
    </row>
    <row r="228" spans="1:9" ht="12.75" customHeight="1" x14ac:dyDescent="0.25">
      <c r="A228" s="6"/>
      <c r="B228" s="6">
        <v>226</v>
      </c>
      <c r="C228" s="12" t="str">
        <f t="shared" si="4"/>
        <v>AMP-226</v>
      </c>
      <c r="D228" s="46" t="s">
        <v>237</v>
      </c>
      <c r="E228" s="12" t="s">
        <v>186</v>
      </c>
      <c r="F228" s="12">
        <v>10</v>
      </c>
      <c r="G228" s="12" t="str">
        <f>IFERROR(VLOOKUP(F228,Setup!B:C,2,FALSE),"")</f>
        <v>10mbps</v>
      </c>
      <c r="H228" s="13">
        <f>IFERROR(VLOOKUP(G228,Setup!C:D,2,FALSE),"")</f>
        <v>100000</v>
      </c>
      <c r="I228" s="6"/>
    </row>
    <row r="229" spans="1:9" ht="12.75" customHeight="1" x14ac:dyDescent="0.25">
      <c r="A229" s="6"/>
      <c r="B229" s="6">
        <v>227</v>
      </c>
      <c r="C229" s="12" t="str">
        <f t="shared" si="4"/>
        <v>AMP-227</v>
      </c>
      <c r="D229" s="46" t="s">
        <v>238</v>
      </c>
      <c r="E229" s="12" t="s">
        <v>186</v>
      </c>
      <c r="F229" s="12">
        <v>10</v>
      </c>
      <c r="G229" s="12" t="str">
        <f>IFERROR(VLOOKUP(F229,Setup!B:C,2,FALSE),"")</f>
        <v>10mbps</v>
      </c>
      <c r="H229" s="13">
        <f>IFERROR(VLOOKUP(G229,Setup!C:D,2,FALSE),"")</f>
        <v>100000</v>
      </c>
      <c r="I229" s="6"/>
    </row>
    <row r="230" spans="1:9" ht="12.75" customHeight="1" x14ac:dyDescent="0.25">
      <c r="A230" s="6"/>
      <c r="B230" s="6">
        <v>228</v>
      </c>
      <c r="C230" s="12" t="str">
        <f t="shared" si="4"/>
        <v>AMP-228</v>
      </c>
      <c r="D230" s="46" t="s">
        <v>239</v>
      </c>
      <c r="E230" s="12" t="s">
        <v>186</v>
      </c>
      <c r="F230" s="12">
        <v>10</v>
      </c>
      <c r="G230" s="12" t="str">
        <f>IFERROR(VLOOKUP(F230,Setup!B:C,2,FALSE),"")</f>
        <v>10mbps</v>
      </c>
      <c r="H230" s="13">
        <f>IFERROR(VLOOKUP(G230,Setup!C:D,2,FALSE),"")</f>
        <v>100000</v>
      </c>
      <c r="I230" s="6"/>
    </row>
    <row r="231" spans="1:9" ht="12.75" customHeight="1" x14ac:dyDescent="0.25">
      <c r="A231" s="6"/>
      <c r="B231" s="6">
        <v>229</v>
      </c>
      <c r="C231" s="12" t="str">
        <f t="shared" si="4"/>
        <v>AMP-229</v>
      </c>
      <c r="D231" s="46" t="s">
        <v>240</v>
      </c>
      <c r="E231" s="12" t="s">
        <v>186</v>
      </c>
      <c r="F231" s="12">
        <v>10</v>
      </c>
      <c r="G231" s="12" t="str">
        <f>IFERROR(VLOOKUP(F231,Setup!B:C,2,FALSE),"")</f>
        <v>10mbps</v>
      </c>
      <c r="H231" s="13">
        <f>IFERROR(VLOOKUP(G231,Setup!C:D,2,FALSE),"")</f>
        <v>100000</v>
      </c>
      <c r="I231" s="6"/>
    </row>
    <row r="232" spans="1:9" ht="12.75" customHeight="1" x14ac:dyDescent="0.25">
      <c r="A232" s="6"/>
      <c r="B232" s="6">
        <v>230</v>
      </c>
      <c r="C232" s="12" t="str">
        <f t="shared" si="4"/>
        <v>AMP-230</v>
      </c>
      <c r="D232" s="46" t="s">
        <v>241</v>
      </c>
      <c r="E232" s="12" t="s">
        <v>186</v>
      </c>
      <c r="F232" s="12">
        <v>10</v>
      </c>
      <c r="G232" s="12" t="str">
        <f>IFERROR(VLOOKUP(F232,Setup!B:C,2,FALSE),"")</f>
        <v>10mbps</v>
      </c>
      <c r="H232" s="13">
        <f>IFERROR(VLOOKUP(G232,Setup!C:D,2,FALSE),"")</f>
        <v>100000</v>
      </c>
      <c r="I232" s="6"/>
    </row>
    <row r="233" spans="1:9" ht="12.75" customHeight="1" x14ac:dyDescent="0.25">
      <c r="A233" s="6"/>
      <c r="B233" s="6">
        <v>231</v>
      </c>
      <c r="C233" s="12" t="str">
        <f t="shared" si="4"/>
        <v>AMP-231</v>
      </c>
      <c r="D233" s="46" t="s">
        <v>242</v>
      </c>
      <c r="E233" s="12" t="s">
        <v>186</v>
      </c>
      <c r="F233" s="12">
        <v>10</v>
      </c>
      <c r="G233" s="12" t="str">
        <f>IFERROR(VLOOKUP(F233,Setup!B:C,2,FALSE),"")</f>
        <v>10mbps</v>
      </c>
      <c r="H233" s="13">
        <f>IFERROR(VLOOKUP(G233,Setup!C:D,2,FALSE),"")</f>
        <v>100000</v>
      </c>
      <c r="I233" s="6"/>
    </row>
    <row r="234" spans="1:9" ht="12.75" customHeight="1" x14ac:dyDescent="0.25">
      <c r="A234" s="6"/>
      <c r="B234" s="6">
        <v>232</v>
      </c>
      <c r="C234" s="12" t="str">
        <f t="shared" si="4"/>
        <v>AMP-232</v>
      </c>
      <c r="D234" s="46" t="s">
        <v>243</v>
      </c>
      <c r="E234" s="12" t="s">
        <v>186</v>
      </c>
      <c r="F234" s="12">
        <v>10</v>
      </c>
      <c r="G234" s="12" t="str">
        <f>IFERROR(VLOOKUP(F234,Setup!B:C,2,FALSE),"")</f>
        <v>10mbps</v>
      </c>
      <c r="H234" s="13">
        <f>IFERROR(VLOOKUP(G234,Setup!C:D,2,FALSE),"")</f>
        <v>100000</v>
      </c>
      <c r="I234" s="6"/>
    </row>
    <row r="235" spans="1:9" ht="12.75" customHeight="1" x14ac:dyDescent="0.25">
      <c r="A235" s="6"/>
      <c r="B235" s="6">
        <v>233</v>
      </c>
      <c r="C235" s="12" t="str">
        <f t="shared" si="4"/>
        <v>AMP-233</v>
      </c>
      <c r="D235" s="46" t="s">
        <v>244</v>
      </c>
      <c r="E235" s="12" t="s">
        <v>186</v>
      </c>
      <c r="F235" s="12">
        <v>10</v>
      </c>
      <c r="G235" s="12" t="str">
        <f>IFERROR(VLOOKUP(F235,Setup!B:C,2,FALSE),"")</f>
        <v>10mbps</v>
      </c>
      <c r="H235" s="13">
        <f>IFERROR(VLOOKUP(G235,Setup!C:D,2,FALSE),"")</f>
        <v>100000</v>
      </c>
      <c r="I235" s="6"/>
    </row>
    <row r="236" spans="1:9" ht="12.75" customHeight="1" x14ac:dyDescent="0.25">
      <c r="A236" s="6"/>
      <c r="B236" s="6">
        <v>234</v>
      </c>
      <c r="C236" s="12" t="str">
        <f t="shared" si="4"/>
        <v>AMP-234</v>
      </c>
      <c r="D236" s="46" t="s">
        <v>245</v>
      </c>
      <c r="E236" s="12" t="s">
        <v>186</v>
      </c>
      <c r="F236" s="12">
        <v>10</v>
      </c>
      <c r="G236" s="12" t="str">
        <f>IFERROR(VLOOKUP(F236,Setup!B:C,2,FALSE),"")</f>
        <v>10mbps</v>
      </c>
      <c r="H236" s="13">
        <f>IFERROR(VLOOKUP(G236,Setup!C:D,2,FALSE),"")</f>
        <v>100000</v>
      </c>
      <c r="I236" s="6"/>
    </row>
    <row r="237" spans="1:9" ht="12.75" customHeight="1" x14ac:dyDescent="0.25">
      <c r="A237" s="6"/>
      <c r="B237" s="6">
        <v>235</v>
      </c>
      <c r="C237" s="12" t="str">
        <f t="shared" si="4"/>
        <v>AMP-235</v>
      </c>
      <c r="D237" s="46" t="s">
        <v>246</v>
      </c>
      <c r="E237" s="12" t="s">
        <v>186</v>
      </c>
      <c r="F237" s="12">
        <v>10</v>
      </c>
      <c r="G237" s="12" t="str">
        <f>IFERROR(VLOOKUP(F237,Setup!B:C,2,FALSE),"")</f>
        <v>10mbps</v>
      </c>
      <c r="H237" s="13">
        <f>IFERROR(VLOOKUP(G237,Setup!C:D,2,FALSE),"")</f>
        <v>100000</v>
      </c>
      <c r="I237" s="6"/>
    </row>
    <row r="238" spans="1:9" ht="12.75" customHeight="1" x14ac:dyDescent="0.25">
      <c r="A238" s="6"/>
      <c r="B238" s="6">
        <v>236</v>
      </c>
      <c r="C238" s="12" t="str">
        <f t="shared" si="4"/>
        <v>AMP-236</v>
      </c>
      <c r="D238" s="46" t="s">
        <v>247</v>
      </c>
      <c r="E238" s="12" t="s">
        <v>186</v>
      </c>
      <c r="F238" s="12">
        <v>10</v>
      </c>
      <c r="G238" s="12" t="str">
        <f>IFERROR(VLOOKUP(F238,Setup!B:C,2,FALSE),"")</f>
        <v>10mbps</v>
      </c>
      <c r="H238" s="13">
        <f>IFERROR(VLOOKUP(G238,Setup!C:D,2,FALSE),"")</f>
        <v>100000</v>
      </c>
      <c r="I238" s="6"/>
    </row>
    <row r="239" spans="1:9" ht="12.75" customHeight="1" x14ac:dyDescent="0.25">
      <c r="A239" s="6"/>
      <c r="B239" s="6">
        <v>237</v>
      </c>
      <c r="C239" s="12" t="str">
        <f t="shared" si="4"/>
        <v>AMP-237</v>
      </c>
      <c r="D239" s="46" t="s">
        <v>248</v>
      </c>
      <c r="E239" s="12" t="s">
        <v>186</v>
      </c>
      <c r="F239" s="12">
        <v>10</v>
      </c>
      <c r="G239" s="12" t="str">
        <f>IFERROR(VLOOKUP(F239,Setup!B:C,2,FALSE),"")</f>
        <v>10mbps</v>
      </c>
      <c r="H239" s="13">
        <f>IFERROR(VLOOKUP(G239,Setup!C:D,2,FALSE),"")</f>
        <v>100000</v>
      </c>
      <c r="I239" s="6"/>
    </row>
    <row r="240" spans="1:9" ht="12.75" customHeight="1" x14ac:dyDescent="0.25">
      <c r="A240" s="6"/>
      <c r="B240" s="6">
        <v>238</v>
      </c>
      <c r="C240" s="12" t="str">
        <f t="shared" si="4"/>
        <v>AMP-238</v>
      </c>
      <c r="D240" s="46" t="s">
        <v>249</v>
      </c>
      <c r="E240" s="12" t="s">
        <v>186</v>
      </c>
      <c r="F240" s="12">
        <v>10</v>
      </c>
      <c r="G240" s="12" t="str">
        <f>IFERROR(VLOOKUP(F240,Setup!B:C,2,FALSE),"")</f>
        <v>10mbps</v>
      </c>
      <c r="H240" s="13">
        <f>IFERROR(VLOOKUP(G240,Setup!C:D,2,FALSE),"")</f>
        <v>100000</v>
      </c>
      <c r="I240" s="6"/>
    </row>
    <row r="241" spans="1:9" ht="12.75" customHeight="1" x14ac:dyDescent="0.25">
      <c r="A241" s="6"/>
      <c r="B241" s="6">
        <v>239</v>
      </c>
      <c r="C241" s="12" t="str">
        <f t="shared" si="4"/>
        <v>AMP-239</v>
      </c>
      <c r="D241" s="46" t="s">
        <v>250</v>
      </c>
      <c r="E241" s="12" t="s">
        <v>186</v>
      </c>
      <c r="F241" s="12">
        <v>10</v>
      </c>
      <c r="G241" s="12" t="str">
        <f>IFERROR(VLOOKUP(F241,Setup!B:C,2,FALSE),"")</f>
        <v>10mbps</v>
      </c>
      <c r="H241" s="13">
        <f>IFERROR(VLOOKUP(G241,Setup!C:D,2,FALSE),"")</f>
        <v>100000</v>
      </c>
      <c r="I241" s="6"/>
    </row>
    <row r="242" spans="1:9" ht="12.75" customHeight="1" x14ac:dyDescent="0.25">
      <c r="A242" s="6"/>
      <c r="B242" s="6">
        <v>240</v>
      </c>
      <c r="C242" s="12" t="str">
        <f t="shared" si="4"/>
        <v>AMP-240</v>
      </c>
      <c r="D242" s="46" t="s">
        <v>251</v>
      </c>
      <c r="E242" s="12" t="s">
        <v>186</v>
      </c>
      <c r="F242" s="12">
        <v>10</v>
      </c>
      <c r="G242" s="12" t="str">
        <f>IFERROR(VLOOKUP(F242,Setup!B:C,2,FALSE),"")</f>
        <v>10mbps</v>
      </c>
      <c r="H242" s="13">
        <f>IFERROR(VLOOKUP(G242,Setup!C:D,2,FALSE),"")</f>
        <v>100000</v>
      </c>
      <c r="I242" s="6"/>
    </row>
    <row r="243" spans="1:9" ht="12.75" customHeight="1" x14ac:dyDescent="0.25">
      <c r="A243" s="6"/>
      <c r="B243" s="6">
        <v>241</v>
      </c>
      <c r="C243" s="12" t="str">
        <f t="shared" si="4"/>
        <v>AMP-241</v>
      </c>
      <c r="D243" s="46" t="s">
        <v>252</v>
      </c>
      <c r="E243" s="12" t="s">
        <v>186</v>
      </c>
      <c r="F243" s="12">
        <v>10</v>
      </c>
      <c r="G243" s="12" t="str">
        <f>IFERROR(VLOOKUP(F243,Setup!B:C,2,FALSE),"")</f>
        <v>10mbps</v>
      </c>
      <c r="H243" s="13">
        <f>IFERROR(VLOOKUP(G243,Setup!C:D,2,FALSE),"")</f>
        <v>100000</v>
      </c>
      <c r="I243" s="6"/>
    </row>
    <row r="244" spans="1:9" ht="12.75" customHeight="1" x14ac:dyDescent="0.25">
      <c r="A244" s="6"/>
      <c r="B244" s="6">
        <v>242</v>
      </c>
      <c r="C244" s="12" t="str">
        <f t="shared" si="4"/>
        <v>AMP-242</v>
      </c>
      <c r="D244" s="46" t="s">
        <v>253</v>
      </c>
      <c r="E244" s="12" t="s">
        <v>186</v>
      </c>
      <c r="F244" s="12">
        <v>10</v>
      </c>
      <c r="G244" s="12" t="str">
        <f>IFERROR(VLOOKUP(F244,Setup!B:C,2,FALSE),"")</f>
        <v>10mbps</v>
      </c>
      <c r="H244" s="13">
        <f>IFERROR(VLOOKUP(G244,Setup!C:D,2,FALSE),"")</f>
        <v>100000</v>
      </c>
      <c r="I244" s="6"/>
    </row>
    <row r="245" spans="1:9" ht="12.75" customHeight="1" x14ac:dyDescent="0.25">
      <c r="A245" s="6"/>
      <c r="B245" s="6">
        <v>243</v>
      </c>
      <c r="C245" s="12" t="str">
        <f t="shared" si="4"/>
        <v>AMP-243</v>
      </c>
      <c r="D245" s="46" t="s">
        <v>254</v>
      </c>
      <c r="E245" s="12" t="s">
        <v>186</v>
      </c>
      <c r="F245" s="12">
        <v>10</v>
      </c>
      <c r="G245" s="12" t="str">
        <f>IFERROR(VLOOKUP(F245,Setup!B:C,2,FALSE),"")</f>
        <v>10mbps</v>
      </c>
      <c r="H245" s="13">
        <f>IFERROR(VLOOKUP(G245,Setup!C:D,2,FALSE),"")</f>
        <v>100000</v>
      </c>
      <c r="I245" s="6"/>
    </row>
    <row r="246" spans="1:9" ht="12.75" customHeight="1" x14ac:dyDescent="0.25">
      <c r="A246" s="6"/>
      <c r="B246" s="6">
        <v>244</v>
      </c>
      <c r="C246" s="12" t="str">
        <f t="shared" si="4"/>
        <v>AMP-244</v>
      </c>
      <c r="D246" s="46" t="s">
        <v>255</v>
      </c>
      <c r="E246" s="12" t="s">
        <v>186</v>
      </c>
      <c r="F246" s="12">
        <v>10</v>
      </c>
      <c r="G246" s="12" t="str">
        <f>IFERROR(VLOOKUP(F246,Setup!B:C,2,FALSE),"")</f>
        <v>10mbps</v>
      </c>
      <c r="H246" s="13">
        <f>IFERROR(VLOOKUP(G246,Setup!C:D,2,FALSE),"")</f>
        <v>100000</v>
      </c>
      <c r="I246" s="6"/>
    </row>
    <row r="247" spans="1:9" ht="12.75" customHeight="1" x14ac:dyDescent="0.25">
      <c r="A247" s="6"/>
      <c r="B247" s="6">
        <v>245</v>
      </c>
      <c r="C247" s="12" t="str">
        <f t="shared" si="4"/>
        <v>AMP-245</v>
      </c>
      <c r="D247" s="46" t="s">
        <v>256</v>
      </c>
      <c r="E247" s="12" t="s">
        <v>186</v>
      </c>
      <c r="F247" s="12">
        <v>10</v>
      </c>
      <c r="G247" s="12" t="str">
        <f>IFERROR(VLOOKUP(F247,Setup!B:C,2,FALSE),"")</f>
        <v>10mbps</v>
      </c>
      <c r="H247" s="13">
        <f>IFERROR(VLOOKUP(G247,Setup!C:D,2,FALSE),"")</f>
        <v>100000</v>
      </c>
      <c r="I247" s="6"/>
    </row>
    <row r="248" spans="1:9" ht="12.75" customHeight="1" x14ac:dyDescent="0.25">
      <c r="A248" s="6"/>
      <c r="B248" s="6">
        <v>246</v>
      </c>
      <c r="C248" s="12" t="str">
        <f t="shared" si="4"/>
        <v>AMP-246</v>
      </c>
      <c r="D248" s="46" t="s">
        <v>257</v>
      </c>
      <c r="E248" s="12" t="s">
        <v>186</v>
      </c>
      <c r="F248" s="12">
        <v>10</v>
      </c>
      <c r="G248" s="12" t="str">
        <f>IFERROR(VLOOKUP(F248,Setup!B:C,2,FALSE),"")</f>
        <v>10mbps</v>
      </c>
      <c r="H248" s="13">
        <f>IFERROR(VLOOKUP(G248,Setup!C:D,2,FALSE),"")</f>
        <v>100000</v>
      </c>
      <c r="I248" s="6"/>
    </row>
    <row r="249" spans="1:9" ht="12.75" customHeight="1" x14ac:dyDescent="0.25">
      <c r="A249" s="6"/>
      <c r="B249" s="6">
        <v>247</v>
      </c>
      <c r="C249" s="12" t="str">
        <f t="shared" si="4"/>
        <v>AMP-247</v>
      </c>
      <c r="D249" s="46" t="s">
        <v>258</v>
      </c>
      <c r="E249" s="12" t="s">
        <v>186</v>
      </c>
      <c r="F249" s="12">
        <v>10</v>
      </c>
      <c r="G249" s="12" t="str">
        <f>IFERROR(VLOOKUP(F249,Setup!B:C,2,FALSE),"")</f>
        <v>10mbps</v>
      </c>
      <c r="H249" s="13">
        <f>IFERROR(VLOOKUP(G249,Setup!C:D,2,FALSE),"")</f>
        <v>100000</v>
      </c>
      <c r="I249" s="6"/>
    </row>
    <row r="250" spans="1:9" ht="12.75" customHeight="1" x14ac:dyDescent="0.25">
      <c r="A250" s="6"/>
      <c r="B250" s="6">
        <v>248</v>
      </c>
      <c r="C250" s="12" t="str">
        <f t="shared" si="4"/>
        <v>AMP-248</v>
      </c>
      <c r="D250" s="46" t="s">
        <v>259</v>
      </c>
      <c r="E250" s="12" t="s">
        <v>186</v>
      </c>
      <c r="F250" s="12">
        <v>10</v>
      </c>
      <c r="G250" s="12" t="str">
        <f>IFERROR(VLOOKUP(F250,Setup!B:C,2,FALSE),"")</f>
        <v>10mbps</v>
      </c>
      <c r="H250" s="13">
        <f>IFERROR(VLOOKUP(G250,Setup!C:D,2,FALSE),"")</f>
        <v>100000</v>
      </c>
      <c r="I250" s="6"/>
    </row>
    <row r="251" spans="1:9" ht="12.75" customHeight="1" x14ac:dyDescent="0.25">
      <c r="A251" s="6"/>
      <c r="B251" s="6">
        <v>249</v>
      </c>
      <c r="C251" s="12" t="str">
        <f t="shared" si="4"/>
        <v>PSA-249</v>
      </c>
      <c r="D251" s="46" t="s">
        <v>260</v>
      </c>
      <c r="E251" s="12" t="s">
        <v>261</v>
      </c>
      <c r="F251" s="12">
        <v>10</v>
      </c>
      <c r="G251" s="12" t="str">
        <f>IFERROR(VLOOKUP(F251,Setup!B:C,2,FALSE),"")</f>
        <v>10mbps</v>
      </c>
      <c r="H251" s="13">
        <f>IFERROR(VLOOKUP(G251,Setup!C:D,2,FALSE),"")</f>
        <v>100000</v>
      </c>
      <c r="I251" s="6"/>
    </row>
    <row r="252" spans="1:9" ht="12.75" customHeight="1" x14ac:dyDescent="0.25">
      <c r="A252" s="6"/>
      <c r="B252" s="6">
        <v>250</v>
      </c>
      <c r="C252" s="12" t="str">
        <f t="shared" si="4"/>
        <v>PSA-250</v>
      </c>
      <c r="D252" s="46" t="s">
        <v>262</v>
      </c>
      <c r="E252" s="12" t="s">
        <v>261</v>
      </c>
      <c r="F252" s="12">
        <v>10</v>
      </c>
      <c r="G252" s="12" t="str">
        <f>IFERROR(VLOOKUP(F252,Setup!B:C,2,FALSE),"")</f>
        <v>10mbps</v>
      </c>
      <c r="H252" s="13">
        <f>IFERROR(VLOOKUP(G252,Setup!C:D,2,FALSE),"")</f>
        <v>100000</v>
      </c>
      <c r="I252" s="6"/>
    </row>
    <row r="253" spans="1:9" ht="12.75" customHeight="1" x14ac:dyDescent="0.25">
      <c r="A253" s="6"/>
      <c r="B253" s="6">
        <v>251</v>
      </c>
      <c r="C253" s="12" t="str">
        <f t="shared" si="4"/>
        <v>AMP-251</v>
      </c>
      <c r="D253" s="46" t="s">
        <v>263</v>
      </c>
      <c r="E253" s="12" t="s">
        <v>264</v>
      </c>
      <c r="F253" s="12">
        <v>10</v>
      </c>
      <c r="G253" s="12" t="str">
        <f>IFERROR(VLOOKUP(F253,Setup!B:C,2,FALSE),"")</f>
        <v>10mbps</v>
      </c>
      <c r="H253" s="13">
        <f>IFERROR(VLOOKUP(G253,Setup!C:D,2,FALSE),"")</f>
        <v>100000</v>
      </c>
      <c r="I253" s="6"/>
    </row>
    <row r="254" spans="1:9" ht="12.75" customHeight="1" x14ac:dyDescent="0.25">
      <c r="A254" s="6"/>
      <c r="B254" s="6">
        <v>252</v>
      </c>
      <c r="C254" s="12" t="str">
        <f t="shared" si="4"/>
        <v>AMP-252</v>
      </c>
      <c r="D254" s="46" t="s">
        <v>265</v>
      </c>
      <c r="E254" s="12" t="s">
        <v>186</v>
      </c>
      <c r="F254" s="12">
        <v>10</v>
      </c>
      <c r="G254" s="12" t="str">
        <f>IFERROR(VLOOKUP(F254,Setup!B:C,2,FALSE),"")</f>
        <v>10mbps</v>
      </c>
      <c r="H254" s="13">
        <f>IFERROR(VLOOKUP(G254,Setup!C:D,2,FALSE),"")</f>
        <v>100000</v>
      </c>
      <c r="I254" s="6"/>
    </row>
    <row r="255" spans="1:9" ht="12.75" customHeight="1" x14ac:dyDescent="0.25">
      <c r="A255" s="6"/>
      <c r="B255" s="6">
        <v>253</v>
      </c>
      <c r="C255" s="12" t="str">
        <f t="shared" si="4"/>
        <v>PSA-253</v>
      </c>
      <c r="D255" s="46" t="s">
        <v>266</v>
      </c>
      <c r="E255" s="12" t="s">
        <v>261</v>
      </c>
      <c r="F255" s="12">
        <v>10</v>
      </c>
      <c r="G255" s="12" t="str">
        <f>IFERROR(VLOOKUP(F255,Setup!B:C,2,FALSE),"")</f>
        <v>10mbps</v>
      </c>
      <c r="H255" s="13">
        <f>IFERROR(VLOOKUP(G255,Setup!C:D,2,FALSE),"")</f>
        <v>100000</v>
      </c>
      <c r="I255" s="6"/>
    </row>
    <row r="256" spans="1:9" ht="12.75" customHeight="1" x14ac:dyDescent="0.25">
      <c r="A256" s="6"/>
      <c r="B256" s="6">
        <v>254</v>
      </c>
      <c r="C256" s="12" t="str">
        <f t="shared" si="4"/>
        <v>AMP-254</v>
      </c>
      <c r="D256" s="46" t="s">
        <v>267</v>
      </c>
      <c r="E256" s="12" t="s">
        <v>186</v>
      </c>
      <c r="F256" s="12">
        <v>10</v>
      </c>
      <c r="G256" s="12" t="str">
        <f>IFERROR(VLOOKUP(F256,Setup!B:C,2,FALSE),"")</f>
        <v>10mbps</v>
      </c>
      <c r="H256" s="13">
        <v>75000</v>
      </c>
      <c r="I256" s="6"/>
    </row>
    <row r="257" spans="1:9" ht="12.75" customHeight="1" x14ac:dyDescent="0.25">
      <c r="A257" s="6"/>
      <c r="B257" s="6">
        <v>255</v>
      </c>
      <c r="C257" s="12" t="str">
        <f t="shared" si="4"/>
        <v>AMP-255</v>
      </c>
      <c r="D257" s="46" t="s">
        <v>268</v>
      </c>
      <c r="E257" s="12" t="s">
        <v>186</v>
      </c>
      <c r="F257" s="12">
        <v>10</v>
      </c>
      <c r="G257" s="12" t="str">
        <f>IFERROR(VLOOKUP(F257,Setup!B:C,2,FALSE),"")</f>
        <v>10mbps</v>
      </c>
      <c r="H257" s="13">
        <v>50000</v>
      </c>
      <c r="I257" s="6"/>
    </row>
    <row r="258" spans="1:9" ht="12.75" customHeight="1" x14ac:dyDescent="0.25">
      <c r="A258" s="6"/>
      <c r="B258" s="6">
        <v>256</v>
      </c>
      <c r="C258" s="12" t="str">
        <f t="shared" si="4"/>
        <v>AMP-256</v>
      </c>
      <c r="D258" s="46" t="s">
        <v>269</v>
      </c>
      <c r="E258" s="12" t="s">
        <v>186</v>
      </c>
      <c r="F258" s="12">
        <v>10</v>
      </c>
      <c r="G258" s="12" t="str">
        <f>IFERROR(VLOOKUP(F258,Setup!B:C,2,FALSE),"")</f>
        <v>10mbps</v>
      </c>
      <c r="H258" s="13">
        <v>75000</v>
      </c>
      <c r="I258" s="6"/>
    </row>
    <row r="259" spans="1:9" ht="12.75" customHeight="1" x14ac:dyDescent="0.25">
      <c r="A259" s="6"/>
      <c r="B259" s="6">
        <v>257</v>
      </c>
      <c r="C259" s="12" t="str">
        <f t="shared" si="4"/>
        <v>AMP-257</v>
      </c>
      <c r="D259" s="46" t="s">
        <v>270</v>
      </c>
      <c r="E259" s="12" t="s">
        <v>186</v>
      </c>
      <c r="F259" s="12">
        <v>10</v>
      </c>
      <c r="G259" s="12" t="str">
        <f>IFERROR(VLOOKUP(F259,Setup!B:C,2,FALSE),"")</f>
        <v>10mbps</v>
      </c>
      <c r="H259" s="13">
        <f>IFERROR(VLOOKUP(G259,Setup!C:D,2,FALSE),"")</f>
        <v>100000</v>
      </c>
      <c r="I259" s="6"/>
    </row>
    <row r="260" spans="1:9" ht="12.75" customHeight="1" x14ac:dyDescent="0.25">
      <c r="A260" s="6"/>
      <c r="B260" s="6">
        <v>258</v>
      </c>
      <c r="C260" s="12" t="str">
        <f t="shared" si="4"/>
        <v>AMP-258</v>
      </c>
      <c r="D260" s="46" t="s">
        <v>271</v>
      </c>
      <c r="E260" s="12" t="s">
        <v>186</v>
      </c>
      <c r="F260" s="12">
        <v>10</v>
      </c>
      <c r="G260" s="12" t="str">
        <f>IFERROR(VLOOKUP(F260,Setup!B:C,2,FALSE),"")</f>
        <v>10mbps</v>
      </c>
      <c r="H260" s="13">
        <f>IFERROR(VLOOKUP(G260,Setup!C:D,2,FALSE),"")</f>
        <v>100000</v>
      </c>
      <c r="I260" s="6"/>
    </row>
    <row r="261" spans="1:9" ht="12.75" customHeight="1" x14ac:dyDescent="0.25">
      <c r="A261" s="6"/>
      <c r="B261" s="6">
        <v>259</v>
      </c>
      <c r="C261" s="12" t="str">
        <f t="shared" si="4"/>
        <v>AMP-259</v>
      </c>
      <c r="D261" s="46" t="s">
        <v>272</v>
      </c>
      <c r="E261" s="12" t="s">
        <v>186</v>
      </c>
      <c r="F261" s="12">
        <v>10</v>
      </c>
      <c r="G261" s="12" t="str">
        <f>IFERROR(VLOOKUP(F261,Setup!B:C,2,FALSE),"")</f>
        <v>10mbps</v>
      </c>
      <c r="H261" s="13">
        <f>IFERROR(VLOOKUP(G261,Setup!C:D,2,FALSE),"")</f>
        <v>100000</v>
      </c>
      <c r="I261" s="6"/>
    </row>
    <row r="262" spans="1:9" ht="12.75" customHeight="1" x14ac:dyDescent="0.25">
      <c r="A262" s="6"/>
      <c r="B262" s="6">
        <v>260</v>
      </c>
      <c r="C262" s="12" t="str">
        <f t="shared" si="4"/>
        <v>AMP-260</v>
      </c>
      <c r="D262" s="46" t="s">
        <v>273</v>
      </c>
      <c r="E262" s="12" t="s">
        <v>186</v>
      </c>
      <c r="F262" s="12">
        <v>10</v>
      </c>
      <c r="G262" s="12" t="str">
        <f>IFERROR(VLOOKUP(F262,Setup!B:C,2,FALSE),"")</f>
        <v>10mbps</v>
      </c>
      <c r="H262" s="13">
        <f>IFERROR(VLOOKUP(G262,Setup!C:D,2,FALSE),"")</f>
        <v>100000</v>
      </c>
      <c r="I262" s="6"/>
    </row>
    <row r="263" spans="1:9" ht="12.75" customHeight="1" x14ac:dyDescent="0.25">
      <c r="A263" s="6"/>
      <c r="B263" s="6">
        <v>261</v>
      </c>
      <c r="C263" s="12" t="str">
        <f t="shared" si="4"/>
        <v>AMP-261</v>
      </c>
      <c r="D263" s="46" t="s">
        <v>554</v>
      </c>
      <c r="E263" s="12" t="s">
        <v>186</v>
      </c>
      <c r="F263" s="12">
        <v>10</v>
      </c>
      <c r="G263" s="12" t="str">
        <f>IFERROR(VLOOKUP(F263,Setup!B:C,2,FALSE),"")</f>
        <v>10mbps</v>
      </c>
      <c r="H263" s="13">
        <f>IFERROR(VLOOKUP(G263,Setup!C:D,2,FALSE),"")</f>
        <v>100000</v>
      </c>
      <c r="I263" s="6"/>
    </row>
    <row r="264" spans="1:9" ht="12.75" customHeight="1" x14ac:dyDescent="0.25">
      <c r="A264" s="6"/>
      <c r="B264" s="6">
        <v>262</v>
      </c>
      <c r="C264" s="12" t="str">
        <f t="shared" si="4"/>
        <v>PAN-262</v>
      </c>
      <c r="D264" s="46" t="s">
        <v>274</v>
      </c>
      <c r="E264" s="12" t="s">
        <v>275</v>
      </c>
      <c r="F264" s="12">
        <v>10</v>
      </c>
      <c r="G264" s="12" t="str">
        <f>IFERROR(VLOOKUP(F264,Setup!B:C,2,FALSE),"")</f>
        <v>10mbps</v>
      </c>
      <c r="H264" s="13">
        <f>IFERROR(VLOOKUP(G264,Setup!C:D,2,FALSE),"")</f>
        <v>100000</v>
      </c>
      <c r="I264" s="6"/>
    </row>
    <row r="265" spans="1:9" ht="12.75" customHeight="1" x14ac:dyDescent="0.25">
      <c r="A265" s="6"/>
      <c r="B265" s="6">
        <v>263</v>
      </c>
      <c r="C265" s="12" t="str">
        <f t="shared" si="4"/>
        <v>PAN-263</v>
      </c>
      <c r="D265" s="46" t="s">
        <v>157</v>
      </c>
      <c r="E265" s="12" t="s">
        <v>275</v>
      </c>
      <c r="F265" s="12">
        <v>10</v>
      </c>
      <c r="G265" s="12" t="str">
        <f>IFERROR(VLOOKUP(F265,Setup!B:C,2,FALSE),"")</f>
        <v>10mbps</v>
      </c>
      <c r="H265" s="13">
        <f>IFERROR(VLOOKUP(G265,Setup!C:D,2,FALSE),"")</f>
        <v>100000</v>
      </c>
      <c r="I265" s="6"/>
    </row>
    <row r="266" spans="1:9" ht="12.75" customHeight="1" x14ac:dyDescent="0.25">
      <c r="A266" s="6"/>
      <c r="B266" s="6">
        <v>264</v>
      </c>
      <c r="C266" s="12" t="str">
        <f t="shared" si="4"/>
        <v>PAN-264</v>
      </c>
      <c r="D266" s="46" t="s">
        <v>276</v>
      </c>
      <c r="E266" s="12" t="s">
        <v>275</v>
      </c>
      <c r="F266" s="12">
        <v>10</v>
      </c>
      <c r="G266" s="12" t="str">
        <f>IFERROR(VLOOKUP(F266,Setup!B:C,2,FALSE),"")</f>
        <v>10mbps</v>
      </c>
      <c r="H266" s="13">
        <f>IFERROR(VLOOKUP(G266,Setup!C:D,2,FALSE),"")</f>
        <v>100000</v>
      </c>
      <c r="I266" s="6"/>
    </row>
    <row r="267" spans="1:9" ht="12.75" customHeight="1" x14ac:dyDescent="0.25">
      <c r="A267" s="6"/>
      <c r="B267" s="6">
        <v>265</v>
      </c>
      <c r="C267" s="12" t="str">
        <f t="shared" ref="C267:C330" si="5">IF(D267="","",LEFT(SUBSTITUTE(UPPER(E267)," ",""),3)&amp;"-"&amp;TEXT(B267,"000"))</f>
        <v>PAN-265</v>
      </c>
      <c r="D267" s="46" t="s">
        <v>277</v>
      </c>
      <c r="E267" s="12" t="s">
        <v>275</v>
      </c>
      <c r="F267" s="12">
        <v>10</v>
      </c>
      <c r="G267" s="12" t="str">
        <f>IFERROR(VLOOKUP(F267,Setup!B:C,2,FALSE),"")</f>
        <v>10mbps</v>
      </c>
      <c r="H267" s="13">
        <f>IFERROR(VLOOKUP(G267,Setup!C:D,2,FALSE),"")</f>
        <v>100000</v>
      </c>
      <c r="I267" s="6"/>
    </row>
    <row r="268" spans="1:9" ht="12.75" customHeight="1" x14ac:dyDescent="0.25">
      <c r="A268" s="6"/>
      <c r="B268" s="6">
        <v>266</v>
      </c>
      <c r="C268" s="12" t="str">
        <f t="shared" si="5"/>
        <v>PAN-266</v>
      </c>
      <c r="D268" s="46" t="s">
        <v>278</v>
      </c>
      <c r="E268" s="12" t="s">
        <v>275</v>
      </c>
      <c r="F268" s="12">
        <v>10</v>
      </c>
      <c r="G268" s="12" t="str">
        <f>IFERROR(VLOOKUP(F268,Setup!B:C,2,FALSE),"")</f>
        <v>10mbps</v>
      </c>
      <c r="H268" s="13">
        <f>IFERROR(VLOOKUP(G268,Setup!C:D,2,FALSE),"")</f>
        <v>100000</v>
      </c>
      <c r="I268" s="6"/>
    </row>
    <row r="269" spans="1:9" ht="12.75" customHeight="1" x14ac:dyDescent="0.25">
      <c r="A269" s="6"/>
      <c r="B269" s="6">
        <v>267</v>
      </c>
      <c r="C269" s="12" t="str">
        <f t="shared" si="5"/>
        <v>PAN-267</v>
      </c>
      <c r="D269" s="46" t="s">
        <v>279</v>
      </c>
      <c r="E269" s="12" t="s">
        <v>275</v>
      </c>
      <c r="F269" s="12">
        <v>10</v>
      </c>
      <c r="G269" s="12" t="str">
        <f>IFERROR(VLOOKUP(F269,Setup!B:C,2,FALSE),"")</f>
        <v>10mbps</v>
      </c>
      <c r="H269" s="13">
        <f>IFERROR(VLOOKUP(G269,Setup!C:D,2,FALSE),"")</f>
        <v>100000</v>
      </c>
      <c r="I269" s="6"/>
    </row>
    <row r="270" spans="1:9" ht="12.75" customHeight="1" x14ac:dyDescent="0.25">
      <c r="A270" s="6"/>
      <c r="B270" s="6">
        <v>268</v>
      </c>
      <c r="C270" s="12" t="str">
        <f t="shared" si="5"/>
        <v>PAN-268</v>
      </c>
      <c r="D270" s="46" t="s">
        <v>280</v>
      </c>
      <c r="E270" s="12" t="s">
        <v>275</v>
      </c>
      <c r="F270" s="12">
        <v>10</v>
      </c>
      <c r="G270" s="12" t="str">
        <f>IFERROR(VLOOKUP(F270,Setup!B:C,2,FALSE),"")</f>
        <v>10mbps</v>
      </c>
      <c r="H270" s="13">
        <f>IFERROR(VLOOKUP(G270,Setup!C:D,2,FALSE),"")</f>
        <v>100000</v>
      </c>
      <c r="I270" s="6"/>
    </row>
    <row r="271" spans="1:9" ht="12.75" customHeight="1" x14ac:dyDescent="0.25">
      <c r="A271" s="6"/>
      <c r="B271" s="6">
        <v>269</v>
      </c>
      <c r="C271" s="12" t="str">
        <f t="shared" si="5"/>
        <v>PAN-269</v>
      </c>
      <c r="D271" s="46" t="s">
        <v>281</v>
      </c>
      <c r="E271" s="12" t="s">
        <v>275</v>
      </c>
      <c r="F271" s="12">
        <v>10</v>
      </c>
      <c r="G271" s="12" t="str">
        <f>IFERROR(VLOOKUP(F271,Setup!B:C,2,FALSE),"")</f>
        <v>10mbps</v>
      </c>
      <c r="H271" s="13">
        <f>IFERROR(VLOOKUP(G271,Setup!C:D,2,FALSE),"")</f>
        <v>100000</v>
      </c>
      <c r="I271" s="6"/>
    </row>
    <row r="272" spans="1:9" ht="12.75" customHeight="1" x14ac:dyDescent="0.25">
      <c r="A272" s="6"/>
      <c r="B272" s="6">
        <v>270</v>
      </c>
      <c r="C272" s="12" t="str">
        <f t="shared" si="5"/>
        <v>PAN-270</v>
      </c>
      <c r="D272" s="46" t="s">
        <v>282</v>
      </c>
      <c r="E272" s="12" t="s">
        <v>275</v>
      </c>
      <c r="F272" s="12">
        <v>10</v>
      </c>
      <c r="G272" s="12" t="str">
        <f>IFERROR(VLOOKUP(F272,Setup!B:C,2,FALSE),"")</f>
        <v>10mbps</v>
      </c>
      <c r="H272" s="13">
        <f>IFERROR(VLOOKUP(G272,Setup!C:D,2,FALSE),"")</f>
        <v>100000</v>
      </c>
      <c r="I272" s="6"/>
    </row>
    <row r="273" spans="1:9" ht="12.75" customHeight="1" x14ac:dyDescent="0.25">
      <c r="A273" s="6"/>
      <c r="B273" s="6">
        <v>271</v>
      </c>
      <c r="C273" s="12" t="str">
        <f t="shared" si="5"/>
        <v>PAN-271</v>
      </c>
      <c r="D273" s="46" t="s">
        <v>283</v>
      </c>
      <c r="E273" s="12" t="s">
        <v>275</v>
      </c>
      <c r="F273" s="12">
        <v>10</v>
      </c>
      <c r="G273" s="12" t="str">
        <f>IFERROR(VLOOKUP(F273,Setup!B:C,2,FALSE),"")</f>
        <v>10mbps</v>
      </c>
      <c r="H273" s="13">
        <f>IFERROR(VLOOKUP(G273,Setup!C:D,2,FALSE),"")</f>
        <v>100000</v>
      </c>
      <c r="I273" s="6"/>
    </row>
    <row r="274" spans="1:9" ht="12.75" customHeight="1" x14ac:dyDescent="0.25">
      <c r="A274" s="6"/>
      <c r="B274" s="6">
        <v>272</v>
      </c>
      <c r="C274" s="12" t="str">
        <f t="shared" si="5"/>
        <v>PAN-272</v>
      </c>
      <c r="D274" s="46" t="s">
        <v>284</v>
      </c>
      <c r="E274" s="12" t="s">
        <v>275</v>
      </c>
      <c r="F274" s="12">
        <v>10</v>
      </c>
      <c r="G274" s="12" t="str">
        <f>IFERROR(VLOOKUP(F274,Setup!B:C,2,FALSE),"")</f>
        <v>10mbps</v>
      </c>
      <c r="H274" s="13">
        <f>IFERROR(VLOOKUP(G274,Setup!C:D,2,FALSE),"")</f>
        <v>100000</v>
      </c>
      <c r="I274" s="6"/>
    </row>
    <row r="275" spans="1:9" ht="12.75" customHeight="1" x14ac:dyDescent="0.25">
      <c r="A275" s="6"/>
      <c r="B275" s="6">
        <v>273</v>
      </c>
      <c r="C275" s="12" t="str">
        <f t="shared" si="5"/>
        <v>PAN-273</v>
      </c>
      <c r="D275" s="46" t="s">
        <v>285</v>
      </c>
      <c r="E275" s="12" t="s">
        <v>275</v>
      </c>
      <c r="F275" s="12">
        <v>10</v>
      </c>
      <c r="G275" s="12" t="str">
        <f>IFERROR(VLOOKUP(F275,Setup!B:C,2,FALSE),"")</f>
        <v>10mbps</v>
      </c>
      <c r="H275" s="13">
        <f>IFERROR(VLOOKUP(G275,Setup!C:D,2,FALSE),"")</f>
        <v>100000</v>
      </c>
      <c r="I275" s="6"/>
    </row>
    <row r="276" spans="1:9" ht="12.75" customHeight="1" x14ac:dyDescent="0.25">
      <c r="A276" s="6"/>
      <c r="B276" s="6">
        <v>274</v>
      </c>
      <c r="C276" s="12" t="str">
        <f t="shared" si="5"/>
        <v>PAL-274</v>
      </c>
      <c r="D276" s="46" t="s">
        <v>286</v>
      </c>
      <c r="E276" s="12" t="s">
        <v>287</v>
      </c>
      <c r="F276" s="12">
        <v>10</v>
      </c>
      <c r="G276" s="12" t="str">
        <f>IFERROR(VLOOKUP(F276,Setup!B:C,2,FALSE),"")</f>
        <v>10mbps</v>
      </c>
      <c r="H276" s="13">
        <f>IFERROR(VLOOKUP(G276,Setup!C:D,2,FALSE),"")</f>
        <v>100000</v>
      </c>
      <c r="I276" s="6"/>
    </row>
    <row r="277" spans="1:9" ht="12.75" customHeight="1" x14ac:dyDescent="0.25">
      <c r="A277" s="6"/>
      <c r="B277" s="6">
        <v>275</v>
      </c>
      <c r="C277" s="12" t="str">
        <f t="shared" si="5"/>
        <v>PAL-275</v>
      </c>
      <c r="D277" s="46" t="s">
        <v>288</v>
      </c>
      <c r="E277" s="12" t="s">
        <v>287</v>
      </c>
      <c r="F277" s="12">
        <v>10</v>
      </c>
      <c r="G277" s="12" t="str">
        <f>IFERROR(VLOOKUP(F277,Setup!B:C,2,FALSE),"")</f>
        <v>10mbps</v>
      </c>
      <c r="H277" s="13">
        <f>IFERROR(VLOOKUP(G277,Setup!C:D,2,FALSE),"")</f>
        <v>100000</v>
      </c>
      <c r="I277" s="6"/>
    </row>
    <row r="278" spans="1:9" ht="12.75" customHeight="1" x14ac:dyDescent="0.25">
      <c r="A278" s="6"/>
      <c r="B278" s="6">
        <v>276</v>
      </c>
      <c r="C278" s="12" t="str">
        <f t="shared" si="5"/>
        <v>PAL-276</v>
      </c>
      <c r="D278" s="46" t="s">
        <v>289</v>
      </c>
      <c r="E278" s="12" t="s">
        <v>287</v>
      </c>
      <c r="F278" s="12">
        <v>10</v>
      </c>
      <c r="G278" s="12" t="str">
        <f>IFERROR(VLOOKUP(F278,Setup!B:C,2,FALSE),"")</f>
        <v>10mbps</v>
      </c>
      <c r="H278" s="13">
        <f>IFERROR(VLOOKUP(G278,Setup!C:D,2,FALSE),"")</f>
        <v>100000</v>
      </c>
      <c r="I278" s="6"/>
    </row>
    <row r="279" spans="1:9" ht="12.75" customHeight="1" x14ac:dyDescent="0.25">
      <c r="A279" s="6"/>
      <c r="B279" s="6">
        <v>277</v>
      </c>
      <c r="C279" s="12" t="str">
        <f t="shared" si="5"/>
        <v>PAL-277</v>
      </c>
      <c r="D279" s="46" t="s">
        <v>290</v>
      </c>
      <c r="E279" s="12" t="s">
        <v>287</v>
      </c>
      <c r="F279" s="12">
        <v>10</v>
      </c>
      <c r="G279" s="12" t="str">
        <f>IFERROR(VLOOKUP(F279,Setup!B:C,2,FALSE),"")</f>
        <v>10mbps</v>
      </c>
      <c r="H279" s="13">
        <f>IFERROR(VLOOKUP(G279,Setup!C:D,2,FALSE),"")</f>
        <v>100000</v>
      </c>
      <c r="I279" s="6"/>
    </row>
    <row r="280" spans="1:9" ht="12.75" customHeight="1" x14ac:dyDescent="0.25">
      <c r="A280" s="6"/>
      <c r="B280" s="6">
        <v>278</v>
      </c>
      <c r="C280" s="12" t="str">
        <f t="shared" si="5"/>
        <v>PAL-278</v>
      </c>
      <c r="D280" s="46" t="s">
        <v>291</v>
      </c>
      <c r="E280" s="12" t="s">
        <v>287</v>
      </c>
      <c r="F280" s="12">
        <v>10</v>
      </c>
      <c r="G280" s="12" t="str">
        <f>IFERROR(VLOOKUP(F280,Setup!B:C,2,FALSE),"")</f>
        <v>10mbps</v>
      </c>
      <c r="H280" s="13">
        <f>IFERROR(VLOOKUP(G280,Setup!C:D,2,FALSE),"")</f>
        <v>100000</v>
      </c>
      <c r="I280" s="6"/>
    </row>
    <row r="281" spans="1:9" ht="12.75" customHeight="1" x14ac:dyDescent="0.25">
      <c r="A281" s="6"/>
      <c r="B281" s="6">
        <v>279</v>
      </c>
      <c r="C281" s="12" t="str">
        <f t="shared" si="5"/>
        <v>PAL-279</v>
      </c>
      <c r="D281" s="46" t="s">
        <v>292</v>
      </c>
      <c r="E281" s="12" t="s">
        <v>287</v>
      </c>
      <c r="F281" s="12">
        <v>10</v>
      </c>
      <c r="G281" s="12" t="str">
        <f>IFERROR(VLOOKUP(F281,Setup!B:C,2,FALSE),"")</f>
        <v>10mbps</v>
      </c>
      <c r="H281" s="13">
        <f>IFERROR(VLOOKUP(G281,Setup!C:D,2,FALSE),"")</f>
        <v>100000</v>
      </c>
      <c r="I281" s="6"/>
    </row>
    <row r="282" spans="1:9" ht="12.75" customHeight="1" x14ac:dyDescent="0.25">
      <c r="A282" s="6"/>
      <c r="B282" s="6">
        <v>280</v>
      </c>
      <c r="C282" s="12" t="str">
        <f t="shared" si="5"/>
        <v>PAL-280</v>
      </c>
      <c r="D282" s="46" t="s">
        <v>293</v>
      </c>
      <c r="E282" s="12" t="s">
        <v>287</v>
      </c>
      <c r="F282" s="12">
        <v>10</v>
      </c>
      <c r="G282" s="12" t="str">
        <f>IFERROR(VLOOKUP(F282,Setup!B:C,2,FALSE),"")</f>
        <v>10mbps</v>
      </c>
      <c r="H282" s="13">
        <f>IFERROR(VLOOKUP(G282,Setup!C:D,2,FALSE),"")</f>
        <v>100000</v>
      </c>
      <c r="I282" s="6"/>
    </row>
    <row r="283" spans="1:9" ht="12.75" customHeight="1" x14ac:dyDescent="0.25">
      <c r="A283" s="6"/>
      <c r="B283" s="6">
        <v>281</v>
      </c>
      <c r="C283" s="12" t="str">
        <f t="shared" si="5"/>
        <v>PAL-281</v>
      </c>
      <c r="D283" s="46" t="s">
        <v>294</v>
      </c>
      <c r="E283" s="12" t="s">
        <v>287</v>
      </c>
      <c r="F283" s="12">
        <v>10</v>
      </c>
      <c r="G283" s="12" t="str">
        <f>IFERROR(VLOOKUP(F283,Setup!B:C,2,FALSE),"")</f>
        <v>10mbps</v>
      </c>
      <c r="H283" s="13">
        <f>IFERROR(VLOOKUP(G283,Setup!C:D,2,FALSE),"")</f>
        <v>100000</v>
      </c>
      <c r="I283" s="6"/>
    </row>
    <row r="284" spans="1:9" ht="12.75" customHeight="1" x14ac:dyDescent="0.25">
      <c r="A284" s="6"/>
      <c r="B284" s="6">
        <v>282</v>
      </c>
      <c r="C284" s="12" t="str">
        <f t="shared" si="5"/>
        <v>PAL-282</v>
      </c>
      <c r="D284" s="46" t="s">
        <v>295</v>
      </c>
      <c r="E284" s="12" t="s">
        <v>287</v>
      </c>
      <c r="F284" s="12">
        <v>10</v>
      </c>
      <c r="G284" s="12" t="str">
        <f>IFERROR(VLOOKUP(F284,Setup!B:C,2,FALSE),"")</f>
        <v>10mbps</v>
      </c>
      <c r="H284" s="13">
        <f>IFERROR(VLOOKUP(G284,Setup!C:D,2,FALSE),"")</f>
        <v>100000</v>
      </c>
      <c r="I284" s="6"/>
    </row>
    <row r="285" spans="1:9" ht="12.75" customHeight="1" x14ac:dyDescent="0.25">
      <c r="A285" s="6"/>
      <c r="B285" s="6">
        <v>283</v>
      </c>
      <c r="C285" s="12" t="str">
        <f t="shared" si="5"/>
        <v>PAL-283</v>
      </c>
      <c r="D285" s="46" t="s">
        <v>296</v>
      </c>
      <c r="E285" s="12" t="s">
        <v>287</v>
      </c>
      <c r="F285" s="12">
        <v>10</v>
      </c>
      <c r="G285" s="12" t="str">
        <f>IFERROR(VLOOKUP(F285,Setup!B:C,2,FALSE),"")</f>
        <v>10mbps</v>
      </c>
      <c r="H285" s="13">
        <f>IFERROR(VLOOKUP(G285,Setup!C:D,2,FALSE),"")</f>
        <v>100000</v>
      </c>
      <c r="I285" s="6"/>
    </row>
    <row r="286" spans="1:9" ht="12.75" customHeight="1" x14ac:dyDescent="0.25">
      <c r="A286" s="6"/>
      <c r="B286" s="6">
        <v>284</v>
      </c>
      <c r="C286" s="12" t="str">
        <f t="shared" si="5"/>
        <v>PAL-284</v>
      </c>
      <c r="D286" s="46" t="s">
        <v>297</v>
      </c>
      <c r="E286" s="12" t="s">
        <v>287</v>
      </c>
      <c r="F286" s="12">
        <v>10</v>
      </c>
      <c r="G286" s="12" t="str">
        <f>IFERROR(VLOOKUP(F286,Setup!B:C,2,FALSE),"")</f>
        <v>10mbps</v>
      </c>
      <c r="H286" s="13">
        <f>IFERROR(VLOOKUP(G286,Setup!C:D,2,FALSE),"")</f>
        <v>100000</v>
      </c>
      <c r="I286" s="6"/>
    </row>
    <row r="287" spans="1:9" ht="12.75" customHeight="1" x14ac:dyDescent="0.25">
      <c r="A287" s="6"/>
      <c r="B287" s="6">
        <v>285</v>
      </c>
      <c r="C287" s="12" t="str">
        <f t="shared" si="5"/>
        <v>PAL-285</v>
      </c>
      <c r="D287" s="46" t="s">
        <v>298</v>
      </c>
      <c r="E287" s="12" t="s">
        <v>287</v>
      </c>
      <c r="F287" s="12">
        <v>10</v>
      </c>
      <c r="G287" s="12" t="str">
        <f>IFERROR(VLOOKUP(F287,Setup!B:C,2,FALSE),"")</f>
        <v>10mbps</v>
      </c>
      <c r="H287" s="13">
        <f>IFERROR(VLOOKUP(G287,Setup!C:D,2,FALSE),"")</f>
        <v>100000</v>
      </c>
      <c r="I287" s="6"/>
    </row>
    <row r="288" spans="1:9" ht="12.75" customHeight="1" x14ac:dyDescent="0.25">
      <c r="A288" s="6"/>
      <c r="B288" s="6">
        <v>286</v>
      </c>
      <c r="C288" s="12" t="str">
        <f t="shared" si="5"/>
        <v>PAL-286</v>
      </c>
      <c r="D288" s="46" t="s">
        <v>299</v>
      </c>
      <c r="E288" s="12" t="s">
        <v>287</v>
      </c>
      <c r="F288" s="12">
        <v>10</v>
      </c>
      <c r="G288" s="12" t="str">
        <f>IFERROR(VLOOKUP(F288,Setup!B:C,2,FALSE),"")</f>
        <v>10mbps</v>
      </c>
      <c r="H288" s="13">
        <f>IFERROR(VLOOKUP(G288,Setup!C:D,2,FALSE),"")</f>
        <v>100000</v>
      </c>
      <c r="I288" s="6"/>
    </row>
    <row r="289" spans="1:9" ht="12.75" customHeight="1" x14ac:dyDescent="0.25">
      <c r="A289" s="6"/>
      <c r="B289" s="6">
        <v>287</v>
      </c>
      <c r="C289" s="12" t="str">
        <f t="shared" si="5"/>
        <v>KEB-287</v>
      </c>
      <c r="D289" s="46" t="s">
        <v>300</v>
      </c>
      <c r="E289" s="12" t="s">
        <v>301</v>
      </c>
      <c r="F289" s="12">
        <v>10</v>
      </c>
      <c r="G289" s="12" t="str">
        <f>IFERROR(VLOOKUP(F289,Setup!B:C,2,FALSE),"")</f>
        <v>10mbps</v>
      </c>
      <c r="H289" s="13">
        <f>IFERROR(VLOOKUP(G289,Setup!C:D,2,FALSE),"")</f>
        <v>100000</v>
      </c>
      <c r="I289" s="6"/>
    </row>
    <row r="290" spans="1:9" ht="12.75" customHeight="1" x14ac:dyDescent="0.25">
      <c r="A290" s="6"/>
      <c r="B290" s="6">
        <v>288</v>
      </c>
      <c r="C290" s="12" t="str">
        <f t="shared" si="5"/>
        <v>KEB-288</v>
      </c>
      <c r="D290" s="46" t="s">
        <v>302</v>
      </c>
      <c r="E290" s="12" t="s">
        <v>301</v>
      </c>
      <c r="F290" s="12">
        <v>10</v>
      </c>
      <c r="G290" s="12" t="str">
        <f>IFERROR(VLOOKUP(F290,Setup!B:C,2,FALSE),"")</f>
        <v>10mbps</v>
      </c>
      <c r="H290" s="13">
        <f>IFERROR(VLOOKUP(G290,Setup!C:D,2,FALSE),"")</f>
        <v>100000</v>
      </c>
      <c r="I290" s="6"/>
    </row>
    <row r="291" spans="1:9" ht="12.75" customHeight="1" x14ac:dyDescent="0.25">
      <c r="A291" s="6"/>
      <c r="B291" s="6">
        <v>289</v>
      </c>
      <c r="C291" s="12" t="str">
        <f t="shared" si="5"/>
        <v>KEB-289</v>
      </c>
      <c r="D291" s="46" t="s">
        <v>303</v>
      </c>
      <c r="E291" s="12" t="s">
        <v>301</v>
      </c>
      <c r="F291" s="12">
        <v>10</v>
      </c>
      <c r="G291" s="12" t="str">
        <f>IFERROR(VLOOKUP(F291,Setup!B:C,2,FALSE),"")</f>
        <v>10mbps</v>
      </c>
      <c r="H291" s="13">
        <f>IFERROR(VLOOKUP(G291,Setup!C:D,2,FALSE),"")</f>
        <v>100000</v>
      </c>
      <c r="I291" s="6"/>
    </row>
    <row r="292" spans="1:9" ht="12.75" customHeight="1" x14ac:dyDescent="0.25">
      <c r="A292" s="6"/>
      <c r="B292" s="6">
        <v>290</v>
      </c>
      <c r="C292" s="12" t="str">
        <f t="shared" si="5"/>
        <v>KEB-290</v>
      </c>
      <c r="D292" s="46" t="s">
        <v>304</v>
      </c>
      <c r="E292" s="12" t="s">
        <v>301</v>
      </c>
      <c r="F292" s="12">
        <v>10</v>
      </c>
      <c r="G292" s="12" t="str">
        <f>IFERROR(VLOOKUP(F292,Setup!B:C,2,FALSE),"")</f>
        <v>10mbps</v>
      </c>
      <c r="H292" s="13">
        <f>IFERROR(VLOOKUP(G292,Setup!C:D,2,FALSE),"")</f>
        <v>100000</v>
      </c>
      <c r="I292" s="6"/>
    </row>
    <row r="293" spans="1:9" ht="12.75" customHeight="1" x14ac:dyDescent="0.25">
      <c r="A293" s="6"/>
      <c r="B293" s="6">
        <v>291</v>
      </c>
      <c r="C293" s="12" t="str">
        <f t="shared" si="5"/>
        <v>KEB-291</v>
      </c>
      <c r="D293" s="46" t="s">
        <v>305</v>
      </c>
      <c r="E293" s="12" t="s">
        <v>301</v>
      </c>
      <c r="F293" s="12">
        <v>10</v>
      </c>
      <c r="G293" s="12" t="str">
        <f>IFERROR(VLOOKUP(F293,Setup!B:C,2,FALSE),"")</f>
        <v>10mbps</v>
      </c>
      <c r="H293" s="13">
        <f>IFERROR(VLOOKUP(G293,Setup!C:D,2,FALSE),"")</f>
        <v>100000</v>
      </c>
      <c r="I293" s="6"/>
    </row>
    <row r="294" spans="1:9" ht="12.75" customHeight="1" x14ac:dyDescent="0.25">
      <c r="A294" s="6"/>
      <c r="B294" s="6">
        <v>292</v>
      </c>
      <c r="C294" s="12" t="str">
        <f t="shared" si="5"/>
        <v>KEB-292</v>
      </c>
      <c r="D294" s="46" t="s">
        <v>306</v>
      </c>
      <c r="E294" s="12" t="s">
        <v>301</v>
      </c>
      <c r="F294" s="12">
        <v>10</v>
      </c>
      <c r="G294" s="12" t="str">
        <f>IFERROR(VLOOKUP(F294,Setup!B:C,2,FALSE),"")</f>
        <v>10mbps</v>
      </c>
      <c r="H294" s="13">
        <f>IFERROR(VLOOKUP(G294,Setup!C:D,2,FALSE),"")</f>
        <v>100000</v>
      </c>
      <c r="I294" s="6"/>
    </row>
    <row r="295" spans="1:9" ht="12.75" customHeight="1" x14ac:dyDescent="0.25">
      <c r="A295" s="6"/>
      <c r="B295" s="6">
        <v>293</v>
      </c>
      <c r="C295" s="12" t="str">
        <f t="shared" si="5"/>
        <v>KEB-293</v>
      </c>
      <c r="D295" s="46" t="s">
        <v>307</v>
      </c>
      <c r="E295" s="12" t="s">
        <v>301</v>
      </c>
      <c r="F295" s="12">
        <v>10</v>
      </c>
      <c r="G295" s="12" t="str">
        <f>IFERROR(VLOOKUP(F295,Setup!B:C,2,FALSE),"")</f>
        <v>10mbps</v>
      </c>
      <c r="H295" s="13">
        <f>IFERROR(VLOOKUP(G295,Setup!C:D,2,FALSE),"")</f>
        <v>100000</v>
      </c>
      <c r="I295" s="6"/>
    </row>
    <row r="296" spans="1:9" ht="12.75" customHeight="1" x14ac:dyDescent="0.25">
      <c r="A296" s="6"/>
      <c r="B296" s="6">
        <v>294</v>
      </c>
      <c r="C296" s="12" t="str">
        <f t="shared" si="5"/>
        <v>KEB-294</v>
      </c>
      <c r="D296" s="46" t="s">
        <v>308</v>
      </c>
      <c r="E296" s="12" t="s">
        <v>301</v>
      </c>
      <c r="F296" s="12">
        <v>10</v>
      </c>
      <c r="G296" s="12" t="str">
        <f>IFERROR(VLOOKUP(F296,Setup!B:C,2,FALSE),"")</f>
        <v>10mbps</v>
      </c>
      <c r="H296" s="13">
        <f>IFERROR(VLOOKUP(G296,Setup!C:D,2,FALSE),"")</f>
        <v>100000</v>
      </c>
      <c r="I296" s="6"/>
    </row>
    <row r="297" spans="1:9" ht="12.75" customHeight="1" x14ac:dyDescent="0.25">
      <c r="A297" s="6"/>
      <c r="B297" s="6">
        <v>295</v>
      </c>
      <c r="C297" s="12" t="str">
        <f t="shared" si="5"/>
        <v>KEB-295</v>
      </c>
      <c r="D297" s="46" t="s">
        <v>309</v>
      </c>
      <c r="E297" s="12" t="s">
        <v>301</v>
      </c>
      <c r="F297" s="12">
        <v>10</v>
      </c>
      <c r="G297" s="12" t="str">
        <f>IFERROR(VLOOKUP(F297,Setup!B:C,2,FALSE),"")</f>
        <v>10mbps</v>
      </c>
      <c r="H297" s="13">
        <f>IFERROR(VLOOKUP(G297,Setup!C:D,2,FALSE),"")</f>
        <v>100000</v>
      </c>
      <c r="I297" s="6"/>
    </row>
    <row r="298" spans="1:9" ht="12.75" customHeight="1" x14ac:dyDescent="0.25">
      <c r="A298" s="6"/>
      <c r="B298" s="6">
        <v>296</v>
      </c>
      <c r="C298" s="12" t="str">
        <f t="shared" si="5"/>
        <v>KEB-296</v>
      </c>
      <c r="D298" s="46" t="s">
        <v>310</v>
      </c>
      <c r="E298" s="12" t="s">
        <v>301</v>
      </c>
      <c r="F298" s="12">
        <v>10</v>
      </c>
      <c r="G298" s="12" t="str">
        <f>IFERROR(VLOOKUP(F298,Setup!B:C,2,FALSE),"")</f>
        <v>10mbps</v>
      </c>
      <c r="H298" s="13">
        <f>IFERROR(VLOOKUP(G298,Setup!C:D,2,FALSE),"")</f>
        <v>100000</v>
      </c>
      <c r="I298" s="6"/>
    </row>
    <row r="299" spans="1:9" ht="12.75" customHeight="1" x14ac:dyDescent="0.25">
      <c r="A299" s="6"/>
      <c r="B299" s="6">
        <v>297</v>
      </c>
      <c r="C299" s="12" t="str">
        <f t="shared" si="5"/>
        <v>KEB-297</v>
      </c>
      <c r="D299" s="46" t="s">
        <v>311</v>
      </c>
      <c r="E299" s="12" t="s">
        <v>301</v>
      </c>
      <c r="F299" s="12">
        <v>10</v>
      </c>
      <c r="G299" s="12" t="str">
        <f>IFERROR(VLOOKUP(F299,Setup!B:C,2,FALSE),"")</f>
        <v>10mbps</v>
      </c>
      <c r="H299" s="13">
        <f>IFERROR(VLOOKUP(G299,Setup!C:D,2,FALSE),"")</f>
        <v>100000</v>
      </c>
      <c r="I299" s="6"/>
    </row>
    <row r="300" spans="1:9" ht="12.75" customHeight="1" x14ac:dyDescent="0.25">
      <c r="A300" s="6"/>
      <c r="B300" s="6">
        <v>298</v>
      </c>
      <c r="C300" s="12" t="str">
        <f t="shared" si="5"/>
        <v>KEB-298</v>
      </c>
      <c r="D300" s="46" t="s">
        <v>312</v>
      </c>
      <c r="E300" s="12" t="s">
        <v>301</v>
      </c>
      <c r="F300" s="12">
        <v>10</v>
      </c>
      <c r="G300" s="12" t="str">
        <f>IFERROR(VLOOKUP(F300,Setup!B:C,2,FALSE),"")</f>
        <v>10mbps</v>
      </c>
      <c r="H300" s="13">
        <f>IFERROR(VLOOKUP(G300,Setup!C:D,2,FALSE),"")</f>
        <v>100000</v>
      </c>
      <c r="I300" s="6"/>
    </row>
    <row r="301" spans="1:9" ht="12.75" customHeight="1" x14ac:dyDescent="0.25">
      <c r="A301" s="6"/>
      <c r="B301" s="6">
        <v>299</v>
      </c>
      <c r="C301" s="12" t="str">
        <f t="shared" si="5"/>
        <v>KEB-299</v>
      </c>
      <c r="D301" s="46" t="s">
        <v>313</v>
      </c>
      <c r="E301" s="12" t="s">
        <v>301</v>
      </c>
      <c r="F301" s="12">
        <v>10</v>
      </c>
      <c r="G301" s="12" t="str">
        <f>IFERROR(VLOOKUP(F301,Setup!B:C,2,FALSE),"")</f>
        <v>10mbps</v>
      </c>
      <c r="H301" s="13">
        <f>IFERROR(VLOOKUP(G301,Setup!C:D,2,FALSE),"")</f>
        <v>100000</v>
      </c>
      <c r="I301" s="6"/>
    </row>
    <row r="302" spans="1:9" ht="12.75" customHeight="1" x14ac:dyDescent="0.25">
      <c r="A302" s="6"/>
      <c r="B302" s="6">
        <v>300</v>
      </c>
      <c r="C302" s="12" t="str">
        <f t="shared" si="5"/>
        <v>KEB-300</v>
      </c>
      <c r="D302" s="46" t="s">
        <v>314</v>
      </c>
      <c r="E302" s="12" t="s">
        <v>301</v>
      </c>
      <c r="F302" s="12">
        <v>10</v>
      </c>
      <c r="G302" s="12" t="str">
        <f>IFERROR(VLOOKUP(F302,Setup!B:C,2,FALSE),"")</f>
        <v>10mbps</v>
      </c>
      <c r="H302" s="13">
        <f>IFERROR(VLOOKUP(G302,Setup!C:D,2,FALSE),"")</f>
        <v>100000</v>
      </c>
      <c r="I302" s="6"/>
    </row>
    <row r="303" spans="1:9" ht="12.75" customHeight="1" x14ac:dyDescent="0.25">
      <c r="A303" s="6"/>
      <c r="B303" s="6">
        <v>301</v>
      </c>
      <c r="C303" s="12" t="str">
        <f t="shared" si="5"/>
        <v>KEB-301</v>
      </c>
      <c r="D303" s="46" t="s">
        <v>315</v>
      </c>
      <c r="E303" s="12" t="s">
        <v>301</v>
      </c>
      <c r="F303" s="12">
        <v>10</v>
      </c>
      <c r="G303" s="12" t="str">
        <f>IFERROR(VLOOKUP(F303,Setup!B:C,2,FALSE),"")</f>
        <v>10mbps</v>
      </c>
      <c r="H303" s="13">
        <f>IFERROR(VLOOKUP(G303,Setup!C:D,2,FALSE),"")</f>
        <v>100000</v>
      </c>
      <c r="I303" s="6"/>
    </row>
    <row r="304" spans="1:9" ht="12.75" customHeight="1" x14ac:dyDescent="0.25">
      <c r="A304" s="6"/>
      <c r="B304" s="6">
        <v>302</v>
      </c>
      <c r="C304" s="12" t="str">
        <f t="shared" si="5"/>
        <v>KEB-302</v>
      </c>
      <c r="D304" s="46" t="s">
        <v>316</v>
      </c>
      <c r="E304" s="12" t="s">
        <v>301</v>
      </c>
      <c r="F304" s="12">
        <v>10</v>
      </c>
      <c r="G304" s="12" t="str">
        <f>IFERROR(VLOOKUP(F304,Setup!B:C,2,FALSE),"")</f>
        <v>10mbps</v>
      </c>
      <c r="H304" s="13">
        <f>IFERROR(VLOOKUP(G304,Setup!C:D,2,FALSE),"")</f>
        <v>100000</v>
      </c>
      <c r="I304" s="6"/>
    </row>
    <row r="305" spans="1:9" ht="12.75" customHeight="1" x14ac:dyDescent="0.25">
      <c r="A305" s="6"/>
      <c r="B305" s="6">
        <v>303</v>
      </c>
      <c r="C305" s="12" t="str">
        <f t="shared" si="5"/>
        <v>KEB-303</v>
      </c>
      <c r="D305" s="46" t="s">
        <v>317</v>
      </c>
      <c r="E305" s="12" t="s">
        <v>301</v>
      </c>
      <c r="F305" s="12">
        <v>10</v>
      </c>
      <c r="G305" s="12" t="str">
        <f>IFERROR(VLOOKUP(F305,Setup!B:C,2,FALSE),"")</f>
        <v>10mbps</v>
      </c>
      <c r="H305" s="13">
        <f>IFERROR(VLOOKUP(G305,Setup!C:D,2,FALSE),"")</f>
        <v>100000</v>
      </c>
      <c r="I305" s="6"/>
    </row>
    <row r="306" spans="1:9" ht="12.75" customHeight="1" x14ac:dyDescent="0.25">
      <c r="A306" s="6"/>
      <c r="B306" s="6">
        <v>304</v>
      </c>
      <c r="C306" s="12" t="str">
        <f t="shared" si="5"/>
        <v>KEB-304</v>
      </c>
      <c r="D306" s="46" t="s">
        <v>318</v>
      </c>
      <c r="E306" s="12" t="s">
        <v>301</v>
      </c>
      <c r="F306" s="12">
        <v>10</v>
      </c>
      <c r="G306" s="12" t="str">
        <f>IFERROR(VLOOKUP(F306,Setup!B:C,2,FALSE),"")</f>
        <v>10mbps</v>
      </c>
      <c r="H306" s="13">
        <f>IFERROR(VLOOKUP(G306,Setup!C:D,2,FALSE),"")</f>
        <v>100000</v>
      </c>
      <c r="I306" s="6"/>
    </row>
    <row r="307" spans="1:9" ht="12.75" customHeight="1" x14ac:dyDescent="0.25">
      <c r="A307" s="6"/>
      <c r="B307" s="6">
        <v>305</v>
      </c>
      <c r="C307" s="12" t="str">
        <f t="shared" si="5"/>
        <v>KEB-305</v>
      </c>
      <c r="D307" s="46" t="s">
        <v>319</v>
      </c>
      <c r="E307" s="12" t="s">
        <v>301</v>
      </c>
      <c r="F307" s="12">
        <v>10</v>
      </c>
      <c r="G307" s="12" t="str">
        <f>IFERROR(VLOOKUP(F307,Setup!B:C,2,FALSE),"")</f>
        <v>10mbps</v>
      </c>
      <c r="H307" s="13">
        <f>IFERROR(VLOOKUP(G307,Setup!C:D,2,FALSE),"")</f>
        <v>100000</v>
      </c>
      <c r="I307" s="6"/>
    </row>
    <row r="308" spans="1:9" ht="12.75" customHeight="1" x14ac:dyDescent="0.25">
      <c r="A308" s="6"/>
      <c r="B308" s="6">
        <v>306</v>
      </c>
      <c r="C308" s="12" t="str">
        <f t="shared" si="5"/>
        <v>KEB-306</v>
      </c>
      <c r="D308" s="46" t="s">
        <v>320</v>
      </c>
      <c r="E308" s="12" t="s">
        <v>301</v>
      </c>
      <c r="F308" s="12">
        <v>10</v>
      </c>
      <c r="G308" s="12" t="str">
        <f>IFERROR(VLOOKUP(F308,Setup!B:C,2,FALSE),"")</f>
        <v>10mbps</v>
      </c>
      <c r="H308" s="13">
        <f>IFERROR(VLOOKUP(G308,Setup!C:D,2,FALSE),"")</f>
        <v>100000</v>
      </c>
      <c r="I308" s="6"/>
    </row>
    <row r="309" spans="1:9" ht="12.75" customHeight="1" x14ac:dyDescent="0.25">
      <c r="A309" s="6"/>
      <c r="B309" s="6">
        <v>307</v>
      </c>
      <c r="C309" s="12" t="str">
        <f t="shared" si="5"/>
        <v>KEB-307</v>
      </c>
      <c r="D309" s="46" t="s">
        <v>321</v>
      </c>
      <c r="E309" s="12" t="s">
        <v>301</v>
      </c>
      <c r="F309" s="12">
        <v>10</v>
      </c>
      <c r="G309" s="12" t="str">
        <f>IFERROR(VLOOKUP(F309,Setup!B:C,2,FALSE),"")</f>
        <v>10mbps</v>
      </c>
      <c r="H309" s="13">
        <f>IFERROR(VLOOKUP(G309,Setup!C:D,2,FALSE),"")</f>
        <v>100000</v>
      </c>
      <c r="I309" s="6"/>
    </row>
    <row r="310" spans="1:9" ht="12.75" customHeight="1" x14ac:dyDescent="0.25">
      <c r="A310" s="6"/>
      <c r="B310" s="6">
        <v>308</v>
      </c>
      <c r="C310" s="12" t="str">
        <f t="shared" si="5"/>
        <v>KEB-308</v>
      </c>
      <c r="D310" s="46" t="s">
        <v>322</v>
      </c>
      <c r="E310" s="12" t="s">
        <v>301</v>
      </c>
      <c r="F310" s="12">
        <v>10</v>
      </c>
      <c r="G310" s="12" t="str">
        <f>IFERROR(VLOOKUP(F310,Setup!B:C,2,FALSE),"")</f>
        <v>10mbps</v>
      </c>
      <c r="H310" s="13">
        <f>IFERROR(VLOOKUP(G310,Setup!C:D,2,FALSE),"")</f>
        <v>100000</v>
      </c>
      <c r="I310" s="6"/>
    </row>
    <row r="311" spans="1:9" ht="12.75" customHeight="1" x14ac:dyDescent="0.25">
      <c r="A311" s="6"/>
      <c r="B311" s="6">
        <v>309</v>
      </c>
      <c r="C311" s="12" t="str">
        <f t="shared" si="5"/>
        <v>KEB-309</v>
      </c>
      <c r="D311" s="46" t="s">
        <v>323</v>
      </c>
      <c r="E311" s="12" t="s">
        <v>301</v>
      </c>
      <c r="F311" s="12">
        <v>10</v>
      </c>
      <c r="G311" s="12" t="str">
        <f>IFERROR(VLOOKUP(F311,Setup!B:C,2,FALSE),"")</f>
        <v>10mbps</v>
      </c>
      <c r="H311" s="13">
        <f>IFERROR(VLOOKUP(G311,Setup!C:D,2,FALSE),"")</f>
        <v>100000</v>
      </c>
      <c r="I311" s="6"/>
    </row>
    <row r="312" spans="1:9" ht="12.75" customHeight="1" x14ac:dyDescent="0.25">
      <c r="A312" s="6"/>
      <c r="B312" s="6">
        <v>310</v>
      </c>
      <c r="C312" s="12" t="str">
        <f t="shared" si="5"/>
        <v>KEB-310</v>
      </c>
      <c r="D312" s="46" t="s">
        <v>324</v>
      </c>
      <c r="E312" s="12" t="s">
        <v>301</v>
      </c>
      <c r="F312" s="12">
        <v>10</v>
      </c>
      <c r="G312" s="12" t="str">
        <f>IFERROR(VLOOKUP(F312,Setup!B:C,2,FALSE),"")</f>
        <v>10mbps</v>
      </c>
      <c r="H312" s="13">
        <f>IFERROR(VLOOKUP(G312,Setup!C:D,2,FALSE),"")</f>
        <v>100000</v>
      </c>
      <c r="I312" s="6"/>
    </row>
    <row r="313" spans="1:9" ht="12.75" customHeight="1" x14ac:dyDescent="0.25">
      <c r="A313" s="6"/>
      <c r="B313" s="6">
        <v>311</v>
      </c>
      <c r="C313" s="12" t="str">
        <f t="shared" si="5"/>
        <v>KEB-311</v>
      </c>
      <c r="D313" s="46" t="s">
        <v>325</v>
      </c>
      <c r="E313" s="12" t="s">
        <v>301</v>
      </c>
      <c r="F313" s="12">
        <v>10</v>
      </c>
      <c r="G313" s="12" t="str">
        <f>IFERROR(VLOOKUP(F313,Setup!B:C,2,FALSE),"")</f>
        <v>10mbps</v>
      </c>
      <c r="H313" s="13">
        <f>IFERROR(VLOOKUP(G313,Setup!C:D,2,FALSE),"")</f>
        <v>100000</v>
      </c>
      <c r="I313" s="6"/>
    </row>
    <row r="314" spans="1:9" ht="12.75" customHeight="1" x14ac:dyDescent="0.25">
      <c r="A314" s="6"/>
      <c r="B314" s="6">
        <v>312</v>
      </c>
      <c r="C314" s="12" t="str">
        <f t="shared" si="5"/>
        <v>KEB-312</v>
      </c>
      <c r="D314" s="46" t="s">
        <v>326</v>
      </c>
      <c r="E314" s="12" t="s">
        <v>301</v>
      </c>
      <c r="F314" s="12">
        <v>10</v>
      </c>
      <c r="G314" s="12" t="str">
        <f>IFERROR(VLOOKUP(F314,Setup!B:C,2,FALSE),"")</f>
        <v>10mbps</v>
      </c>
      <c r="H314" s="13">
        <f>IFERROR(VLOOKUP(G314,Setup!C:D,2,FALSE),"")</f>
        <v>100000</v>
      </c>
      <c r="I314" s="6"/>
    </row>
    <row r="315" spans="1:9" ht="12.75" customHeight="1" x14ac:dyDescent="0.25">
      <c r="A315" s="6"/>
      <c r="B315" s="6">
        <v>313</v>
      </c>
      <c r="C315" s="12" t="str">
        <f t="shared" si="5"/>
        <v>KEB-313</v>
      </c>
      <c r="D315" s="46" t="s">
        <v>327</v>
      </c>
      <c r="E315" s="12" t="s">
        <v>301</v>
      </c>
      <c r="F315" s="12">
        <v>10</v>
      </c>
      <c r="G315" s="12" t="str">
        <f>IFERROR(VLOOKUP(F315,Setup!B:C,2,FALSE),"")</f>
        <v>10mbps</v>
      </c>
      <c r="H315" s="13">
        <f>IFERROR(VLOOKUP(G315,Setup!C:D,2,FALSE),"")</f>
        <v>100000</v>
      </c>
      <c r="I315" s="6"/>
    </row>
    <row r="316" spans="1:9" ht="12.75" customHeight="1" x14ac:dyDescent="0.25">
      <c r="A316" s="6"/>
      <c r="B316" s="6">
        <v>314</v>
      </c>
      <c r="C316" s="12" t="str">
        <f t="shared" si="5"/>
        <v>KEB-314</v>
      </c>
      <c r="D316" s="46" t="s">
        <v>328</v>
      </c>
      <c r="E316" s="12" t="s">
        <v>301</v>
      </c>
      <c r="F316" s="12">
        <v>10</v>
      </c>
      <c r="G316" s="12" t="str">
        <f>IFERROR(VLOOKUP(F316,Setup!B:C,2,FALSE),"")</f>
        <v>10mbps</v>
      </c>
      <c r="H316" s="13">
        <f>IFERROR(VLOOKUP(G316,Setup!C:D,2,FALSE),"")</f>
        <v>100000</v>
      </c>
      <c r="I316" s="6"/>
    </row>
    <row r="317" spans="1:9" ht="12.75" customHeight="1" x14ac:dyDescent="0.25">
      <c r="A317" s="6"/>
      <c r="B317" s="6">
        <v>315</v>
      </c>
      <c r="C317" s="12" t="str">
        <f t="shared" si="5"/>
        <v>KEB-315</v>
      </c>
      <c r="D317" s="46" t="s">
        <v>329</v>
      </c>
      <c r="E317" s="12" t="s">
        <v>301</v>
      </c>
      <c r="F317" s="12">
        <v>10</v>
      </c>
      <c r="G317" s="12" t="str">
        <f>IFERROR(VLOOKUP(F317,Setup!B:C,2,FALSE),"")</f>
        <v>10mbps</v>
      </c>
      <c r="H317" s="13">
        <f>IFERROR(VLOOKUP(G317,Setup!C:D,2,FALSE),"")</f>
        <v>100000</v>
      </c>
      <c r="I317" s="6"/>
    </row>
    <row r="318" spans="1:9" ht="12.75" customHeight="1" x14ac:dyDescent="0.25">
      <c r="A318" s="6"/>
      <c r="B318" s="6">
        <v>316</v>
      </c>
      <c r="C318" s="12" t="str">
        <f t="shared" si="5"/>
        <v>KEB-316</v>
      </c>
      <c r="D318" s="46" t="s">
        <v>330</v>
      </c>
      <c r="E318" s="12" t="s">
        <v>301</v>
      </c>
      <c r="F318" s="12">
        <v>10</v>
      </c>
      <c r="G318" s="12" t="str">
        <f>IFERROR(VLOOKUP(F318,Setup!B:C,2,FALSE),"")</f>
        <v>10mbps</v>
      </c>
      <c r="H318" s="13">
        <f>IFERROR(VLOOKUP(G318,Setup!C:D,2,FALSE),"")</f>
        <v>100000</v>
      </c>
      <c r="I318" s="6"/>
    </row>
    <row r="319" spans="1:9" ht="12.75" customHeight="1" x14ac:dyDescent="0.25">
      <c r="A319" s="6"/>
      <c r="B319" s="6">
        <v>317</v>
      </c>
      <c r="C319" s="12" t="str">
        <f t="shared" si="5"/>
        <v>KEB-317</v>
      </c>
      <c r="D319" s="46" t="s">
        <v>331</v>
      </c>
      <c r="E319" s="12" t="s">
        <v>301</v>
      </c>
      <c r="F319" s="12">
        <v>10</v>
      </c>
      <c r="G319" s="12" t="str">
        <f>IFERROR(VLOOKUP(F319,Setup!B:C,2,FALSE),"")</f>
        <v>10mbps</v>
      </c>
      <c r="H319" s="13">
        <f>IFERROR(VLOOKUP(G319,Setup!C:D,2,FALSE),"")</f>
        <v>100000</v>
      </c>
      <c r="I319" s="6"/>
    </row>
    <row r="320" spans="1:9" ht="12.75" customHeight="1" x14ac:dyDescent="0.25">
      <c r="A320" s="6"/>
      <c r="B320" s="6">
        <v>318</v>
      </c>
      <c r="C320" s="12" t="str">
        <f t="shared" si="5"/>
        <v>KEB-318</v>
      </c>
      <c r="D320" s="46" t="s">
        <v>332</v>
      </c>
      <c r="E320" s="12" t="s">
        <v>301</v>
      </c>
      <c r="F320" s="12">
        <v>10</v>
      </c>
      <c r="G320" s="12" t="str">
        <f>IFERROR(VLOOKUP(F320,Setup!B:C,2,FALSE),"")</f>
        <v>10mbps</v>
      </c>
      <c r="H320" s="13">
        <f>IFERROR(VLOOKUP(G320,Setup!C:D,2,FALSE),"")</f>
        <v>100000</v>
      </c>
      <c r="I320" s="6"/>
    </row>
    <row r="321" spans="1:9" ht="12.75" customHeight="1" x14ac:dyDescent="0.25">
      <c r="A321" s="6"/>
      <c r="B321" s="6">
        <v>319</v>
      </c>
      <c r="C321" s="12" t="str">
        <f t="shared" si="5"/>
        <v>KEB-319</v>
      </c>
      <c r="D321" s="46" t="s">
        <v>333</v>
      </c>
      <c r="E321" s="12" t="s">
        <v>301</v>
      </c>
      <c r="F321" s="12">
        <v>10</v>
      </c>
      <c r="G321" s="12" t="str">
        <f>IFERROR(VLOOKUP(F321,Setup!B:C,2,FALSE),"")</f>
        <v>10mbps</v>
      </c>
      <c r="H321" s="13">
        <f>IFERROR(VLOOKUP(G321,Setup!C:D,2,FALSE),"")</f>
        <v>100000</v>
      </c>
      <c r="I321" s="6"/>
    </row>
    <row r="322" spans="1:9" ht="12.75" customHeight="1" x14ac:dyDescent="0.25">
      <c r="A322" s="6"/>
      <c r="B322" s="6">
        <v>320</v>
      </c>
      <c r="C322" s="12" t="str">
        <f t="shared" si="5"/>
        <v>KEB-320</v>
      </c>
      <c r="D322" s="46" t="s">
        <v>334</v>
      </c>
      <c r="E322" s="12" t="s">
        <v>301</v>
      </c>
      <c r="F322" s="12">
        <v>10</v>
      </c>
      <c r="G322" s="12" t="str">
        <f>IFERROR(VLOOKUP(F322,Setup!B:C,2,FALSE),"")</f>
        <v>10mbps</v>
      </c>
      <c r="H322" s="13">
        <f>IFERROR(VLOOKUP(G322,Setup!C:D,2,FALSE),"")</f>
        <v>100000</v>
      </c>
      <c r="I322" s="6"/>
    </row>
    <row r="323" spans="1:9" ht="12.75" customHeight="1" x14ac:dyDescent="0.25">
      <c r="A323" s="6"/>
      <c r="B323" s="6">
        <v>321</v>
      </c>
      <c r="C323" s="12" t="str">
        <f t="shared" si="5"/>
        <v>KEB-321</v>
      </c>
      <c r="D323" s="46" t="s">
        <v>335</v>
      </c>
      <c r="E323" s="12" t="s">
        <v>301</v>
      </c>
      <c r="F323" s="12">
        <v>10</v>
      </c>
      <c r="G323" s="12" t="str">
        <f>IFERROR(VLOOKUP(F323,Setup!B:C,2,FALSE),"")</f>
        <v>10mbps</v>
      </c>
      <c r="H323" s="13">
        <f>IFERROR(VLOOKUP(G323,Setup!C:D,2,FALSE),"")</f>
        <v>100000</v>
      </c>
      <c r="I323" s="6"/>
    </row>
    <row r="324" spans="1:9" ht="12.75" customHeight="1" x14ac:dyDescent="0.25">
      <c r="A324" s="6"/>
      <c r="B324" s="6">
        <v>322</v>
      </c>
      <c r="C324" s="12" t="str">
        <f t="shared" si="5"/>
        <v>KEB-322</v>
      </c>
      <c r="D324" s="46" t="s">
        <v>336</v>
      </c>
      <c r="E324" s="12" t="s">
        <v>301</v>
      </c>
      <c r="F324" s="12">
        <v>10</v>
      </c>
      <c r="G324" s="12" t="str">
        <f>IFERROR(VLOOKUP(F324,Setup!B:C,2,FALSE),"")</f>
        <v>10mbps</v>
      </c>
      <c r="H324" s="13">
        <f>IFERROR(VLOOKUP(G324,Setup!C:D,2,FALSE),"")</f>
        <v>100000</v>
      </c>
      <c r="I324" s="6"/>
    </row>
    <row r="325" spans="1:9" ht="12.75" customHeight="1" x14ac:dyDescent="0.25">
      <c r="A325" s="6"/>
      <c r="B325" s="6">
        <v>323</v>
      </c>
      <c r="C325" s="12" t="str">
        <f t="shared" si="5"/>
        <v>KEB-323</v>
      </c>
      <c r="D325" s="46" t="s">
        <v>337</v>
      </c>
      <c r="E325" s="12" t="s">
        <v>301</v>
      </c>
      <c r="F325" s="12">
        <v>10</v>
      </c>
      <c r="G325" s="12" t="str">
        <f>IFERROR(VLOOKUP(F325,Setup!B:C,2,FALSE),"")</f>
        <v>10mbps</v>
      </c>
      <c r="H325" s="13">
        <f>IFERROR(VLOOKUP(G325,Setup!C:D,2,FALSE),"")</f>
        <v>100000</v>
      </c>
      <c r="I325" s="6"/>
    </row>
    <row r="326" spans="1:9" ht="12.75" customHeight="1" x14ac:dyDescent="0.25">
      <c r="A326" s="6"/>
      <c r="B326" s="6">
        <v>324</v>
      </c>
      <c r="C326" s="12" t="str">
        <f t="shared" si="5"/>
        <v>KEB-324</v>
      </c>
      <c r="D326" s="46" t="s">
        <v>338</v>
      </c>
      <c r="E326" s="12" t="s">
        <v>301</v>
      </c>
      <c r="F326" s="12">
        <v>10</v>
      </c>
      <c r="G326" s="12" t="str">
        <f>IFERROR(VLOOKUP(F326,Setup!B:C,2,FALSE),"")</f>
        <v>10mbps</v>
      </c>
      <c r="H326" s="13">
        <f>IFERROR(VLOOKUP(G326,Setup!C:D,2,FALSE),"")</f>
        <v>100000</v>
      </c>
      <c r="I326" s="6"/>
    </row>
    <row r="327" spans="1:9" ht="12.75" customHeight="1" x14ac:dyDescent="0.25">
      <c r="A327" s="6"/>
      <c r="B327" s="6">
        <v>325</v>
      </c>
      <c r="C327" s="12" t="str">
        <f t="shared" si="5"/>
        <v>KEB-325</v>
      </c>
      <c r="D327" s="46" t="s">
        <v>339</v>
      </c>
      <c r="E327" s="12" t="s">
        <v>301</v>
      </c>
      <c r="F327" s="12">
        <v>10</v>
      </c>
      <c r="G327" s="12" t="str">
        <f>IFERROR(VLOOKUP(F327,Setup!B:C,2,FALSE),"")</f>
        <v>10mbps</v>
      </c>
      <c r="H327" s="13">
        <f>IFERROR(VLOOKUP(G327,Setup!C:D,2,FALSE),"")</f>
        <v>100000</v>
      </c>
      <c r="I327" s="6"/>
    </row>
    <row r="328" spans="1:9" ht="12.75" customHeight="1" x14ac:dyDescent="0.25">
      <c r="A328" s="6"/>
      <c r="B328" s="6">
        <v>326</v>
      </c>
      <c r="C328" s="12" t="str">
        <f t="shared" si="5"/>
        <v>KEB-326</v>
      </c>
      <c r="D328" s="46" t="s">
        <v>340</v>
      </c>
      <c r="E328" s="12" t="s">
        <v>301</v>
      </c>
      <c r="F328" s="12">
        <v>10</v>
      </c>
      <c r="G328" s="12" t="str">
        <f>IFERROR(VLOOKUP(F328,Setup!B:C,2,FALSE),"")</f>
        <v>10mbps</v>
      </c>
      <c r="H328" s="13">
        <f>IFERROR(VLOOKUP(G328,Setup!C:D,2,FALSE),"")</f>
        <v>100000</v>
      </c>
      <c r="I328" s="6"/>
    </row>
    <row r="329" spans="1:9" ht="12.75" customHeight="1" x14ac:dyDescent="0.25">
      <c r="A329" s="6"/>
      <c r="B329" s="6">
        <v>327</v>
      </c>
      <c r="C329" s="12" t="str">
        <f t="shared" si="5"/>
        <v>KEB-327</v>
      </c>
      <c r="D329" s="46" t="s">
        <v>341</v>
      </c>
      <c r="E329" s="12" t="s">
        <v>301</v>
      </c>
      <c r="F329" s="12">
        <v>10</v>
      </c>
      <c r="G329" s="12" t="str">
        <f>IFERROR(VLOOKUP(F329,Setup!B:C,2,FALSE),"")</f>
        <v>10mbps</v>
      </c>
      <c r="H329" s="13">
        <f>IFERROR(VLOOKUP(G329,Setup!C:D,2,FALSE),"")</f>
        <v>100000</v>
      </c>
      <c r="I329" s="6"/>
    </row>
    <row r="330" spans="1:9" ht="12.75" customHeight="1" x14ac:dyDescent="0.25">
      <c r="A330" s="6"/>
      <c r="B330" s="6">
        <v>328</v>
      </c>
      <c r="C330" s="12" t="str">
        <f t="shared" si="5"/>
        <v>KEB-328</v>
      </c>
      <c r="D330" s="46" t="s">
        <v>342</v>
      </c>
      <c r="E330" s="12" t="s">
        <v>301</v>
      </c>
      <c r="F330" s="12">
        <v>10</v>
      </c>
      <c r="G330" s="12" t="str">
        <f>IFERROR(VLOOKUP(F330,Setup!B:C,2,FALSE),"")</f>
        <v>10mbps</v>
      </c>
      <c r="H330" s="13">
        <f>IFERROR(VLOOKUP(G330,Setup!C:D,2,FALSE),"")</f>
        <v>100000</v>
      </c>
      <c r="I330" s="6"/>
    </row>
    <row r="331" spans="1:9" ht="12.75" customHeight="1" x14ac:dyDescent="0.25">
      <c r="A331" s="6"/>
      <c r="B331" s="6">
        <v>329</v>
      </c>
      <c r="C331" s="12" t="str">
        <f t="shared" ref="C331:C394" si="6">IF(D331="","",LEFT(SUBSTITUTE(UPPER(E331)," ",""),3)&amp;"-"&amp;TEXT(B331,"000"))</f>
        <v>KEB-329</v>
      </c>
      <c r="D331" s="46" t="s">
        <v>343</v>
      </c>
      <c r="E331" s="12" t="s">
        <v>301</v>
      </c>
      <c r="F331" s="12">
        <v>10</v>
      </c>
      <c r="G331" s="12" t="str">
        <f>IFERROR(VLOOKUP(F331,Setup!B:C,2,FALSE),"")</f>
        <v>10mbps</v>
      </c>
      <c r="H331" s="13">
        <f>IFERROR(VLOOKUP(G331,Setup!C:D,2,FALSE),"")</f>
        <v>100000</v>
      </c>
      <c r="I331" s="6"/>
    </row>
    <row r="332" spans="1:9" ht="12.75" customHeight="1" x14ac:dyDescent="0.25">
      <c r="A332" s="6"/>
      <c r="B332" s="6">
        <v>330</v>
      </c>
      <c r="C332" s="12" t="str">
        <f t="shared" si="6"/>
        <v>KEB-330</v>
      </c>
      <c r="D332" s="46" t="s">
        <v>344</v>
      </c>
      <c r="E332" s="12" t="s">
        <v>301</v>
      </c>
      <c r="F332" s="12">
        <v>10</v>
      </c>
      <c r="G332" s="12" t="str">
        <f>IFERROR(VLOOKUP(F332,Setup!B:C,2,FALSE),"")</f>
        <v>10mbps</v>
      </c>
      <c r="H332" s="13">
        <f>IFERROR(VLOOKUP(G332,Setup!C:D,2,FALSE),"")</f>
        <v>100000</v>
      </c>
      <c r="I332" s="6"/>
    </row>
    <row r="333" spans="1:9" ht="12.75" customHeight="1" x14ac:dyDescent="0.25">
      <c r="A333" s="6"/>
      <c r="B333" s="6">
        <v>331</v>
      </c>
      <c r="C333" s="12" t="str">
        <f t="shared" si="6"/>
        <v>KEB-331</v>
      </c>
      <c r="D333" s="46" t="s">
        <v>345</v>
      </c>
      <c r="E333" s="12" t="s">
        <v>301</v>
      </c>
      <c r="F333" s="12">
        <v>10</v>
      </c>
      <c r="G333" s="12" t="str">
        <f>IFERROR(VLOOKUP(F333,Setup!B:C,2,FALSE),"")</f>
        <v>10mbps</v>
      </c>
      <c r="H333" s="13">
        <f>IFERROR(VLOOKUP(G333,Setup!C:D,2,FALSE),"")</f>
        <v>100000</v>
      </c>
      <c r="I333" s="6"/>
    </row>
    <row r="334" spans="1:9" ht="12.75" customHeight="1" x14ac:dyDescent="0.25">
      <c r="A334" s="6"/>
      <c r="B334" s="6">
        <v>332</v>
      </c>
      <c r="C334" s="12" t="str">
        <f t="shared" si="6"/>
        <v>KEB-332</v>
      </c>
      <c r="D334" s="46" t="s">
        <v>346</v>
      </c>
      <c r="E334" s="12" t="s">
        <v>301</v>
      </c>
      <c r="F334" s="12">
        <v>10</v>
      </c>
      <c r="G334" s="12" t="str">
        <f>IFERROR(VLOOKUP(F334,Setup!B:C,2,FALSE),"")</f>
        <v>10mbps</v>
      </c>
      <c r="H334" s="13">
        <f>IFERROR(VLOOKUP(G334,Setup!C:D,2,FALSE),"")</f>
        <v>100000</v>
      </c>
      <c r="I334" s="6"/>
    </row>
    <row r="335" spans="1:9" ht="12.75" customHeight="1" x14ac:dyDescent="0.25">
      <c r="A335" s="6"/>
      <c r="B335" s="6">
        <v>333</v>
      </c>
      <c r="C335" s="12" t="str">
        <f t="shared" si="6"/>
        <v>KEB-333</v>
      </c>
      <c r="D335" s="46" t="s">
        <v>20</v>
      </c>
      <c r="E335" s="12" t="s">
        <v>301</v>
      </c>
      <c r="F335" s="12">
        <v>10</v>
      </c>
      <c r="G335" s="12" t="str">
        <f>IFERROR(VLOOKUP(F335,Setup!B:C,2,FALSE),"")</f>
        <v>10mbps</v>
      </c>
      <c r="H335" s="13">
        <f>IFERROR(VLOOKUP(G335,Setup!C:D,2,FALSE),"")</f>
        <v>100000</v>
      </c>
      <c r="I335" s="6"/>
    </row>
    <row r="336" spans="1:9" ht="12.75" customHeight="1" x14ac:dyDescent="0.25">
      <c r="A336" s="6"/>
      <c r="B336" s="6">
        <v>334</v>
      </c>
      <c r="C336" s="12" t="str">
        <f t="shared" si="6"/>
        <v>KEB-334</v>
      </c>
      <c r="D336" s="46" t="s">
        <v>347</v>
      </c>
      <c r="E336" s="12" t="s">
        <v>301</v>
      </c>
      <c r="F336" s="12">
        <v>10</v>
      </c>
      <c r="G336" s="12" t="str">
        <f>IFERROR(VLOOKUP(F336,Setup!B:C,2,FALSE),"")</f>
        <v>10mbps</v>
      </c>
      <c r="H336" s="13">
        <f>IFERROR(VLOOKUP(G336,Setup!C:D,2,FALSE),"")</f>
        <v>100000</v>
      </c>
      <c r="I336" s="6"/>
    </row>
    <row r="337" spans="1:9" ht="12.75" customHeight="1" x14ac:dyDescent="0.25">
      <c r="A337" s="6"/>
      <c r="B337" s="6">
        <v>335</v>
      </c>
      <c r="C337" s="12" t="str">
        <f t="shared" si="6"/>
        <v>KEB-335</v>
      </c>
      <c r="D337" s="46" t="s">
        <v>348</v>
      </c>
      <c r="E337" s="12" t="s">
        <v>301</v>
      </c>
      <c r="F337" s="12">
        <v>10</v>
      </c>
      <c r="G337" s="12" t="str">
        <f>IFERROR(VLOOKUP(F337,Setup!B:C,2,FALSE),"")</f>
        <v>10mbps</v>
      </c>
      <c r="H337" s="13">
        <f>IFERROR(VLOOKUP(G337,Setup!C:D,2,FALSE),"")</f>
        <v>100000</v>
      </c>
      <c r="I337" s="6"/>
    </row>
    <row r="338" spans="1:9" ht="12.75" customHeight="1" x14ac:dyDescent="0.25">
      <c r="A338" s="6"/>
      <c r="B338" s="6">
        <v>336</v>
      </c>
      <c r="C338" s="12" t="str">
        <f t="shared" si="6"/>
        <v>KEB-336</v>
      </c>
      <c r="D338" s="46" t="s">
        <v>349</v>
      </c>
      <c r="E338" s="12" t="s">
        <v>301</v>
      </c>
      <c r="F338" s="12">
        <v>10</v>
      </c>
      <c r="G338" s="12" t="str">
        <f>IFERROR(VLOOKUP(F338,Setup!B:C,2,FALSE),"")</f>
        <v>10mbps</v>
      </c>
      <c r="H338" s="13">
        <f>IFERROR(VLOOKUP(G338,Setup!C:D,2,FALSE),"")</f>
        <v>100000</v>
      </c>
      <c r="I338" s="6"/>
    </row>
    <row r="339" spans="1:9" ht="12.75" customHeight="1" x14ac:dyDescent="0.25">
      <c r="A339" s="6"/>
      <c r="B339" s="6">
        <v>337</v>
      </c>
      <c r="C339" s="12" t="str">
        <f t="shared" si="6"/>
        <v>KEB-337</v>
      </c>
      <c r="D339" s="46" t="s">
        <v>350</v>
      </c>
      <c r="E339" s="12" t="s">
        <v>301</v>
      </c>
      <c r="F339" s="12">
        <v>10</v>
      </c>
      <c r="G339" s="12" t="str">
        <f>IFERROR(VLOOKUP(F339,Setup!B:C,2,FALSE),"")</f>
        <v>10mbps</v>
      </c>
      <c r="H339" s="13">
        <f>IFERROR(VLOOKUP(G339,Setup!C:D,2,FALSE),"")</f>
        <v>100000</v>
      </c>
      <c r="I339" s="6"/>
    </row>
    <row r="340" spans="1:9" ht="12.75" customHeight="1" x14ac:dyDescent="0.25">
      <c r="A340" s="6"/>
      <c r="B340" s="6">
        <v>338</v>
      </c>
      <c r="C340" s="12" t="str">
        <f t="shared" si="6"/>
        <v>KEB-338</v>
      </c>
      <c r="D340" s="46" t="s">
        <v>190</v>
      </c>
      <c r="E340" s="12" t="s">
        <v>301</v>
      </c>
      <c r="F340" s="12">
        <v>10</v>
      </c>
      <c r="G340" s="12" t="str">
        <f>IFERROR(VLOOKUP(F340,Setup!B:C,2,FALSE),"")</f>
        <v>10mbps</v>
      </c>
      <c r="H340" s="13">
        <f>IFERROR(VLOOKUP(G340,Setup!C:D,2,FALSE),"")</f>
        <v>100000</v>
      </c>
      <c r="I340" s="6"/>
    </row>
    <row r="341" spans="1:9" ht="12.75" customHeight="1" x14ac:dyDescent="0.25">
      <c r="A341" s="6"/>
      <c r="B341" s="6">
        <v>339</v>
      </c>
      <c r="C341" s="12" t="str">
        <f t="shared" si="6"/>
        <v>KEB-339</v>
      </c>
      <c r="D341" s="46" t="s">
        <v>351</v>
      </c>
      <c r="E341" s="12" t="s">
        <v>301</v>
      </c>
      <c r="F341" s="12">
        <v>10</v>
      </c>
      <c r="G341" s="12" t="str">
        <f>IFERROR(VLOOKUP(F341,Setup!B:C,2,FALSE),"")</f>
        <v>10mbps</v>
      </c>
      <c r="H341" s="13">
        <f>IFERROR(VLOOKUP(G341,Setup!C:D,2,FALSE),"")</f>
        <v>100000</v>
      </c>
      <c r="I341" s="6"/>
    </row>
    <row r="342" spans="1:9" ht="12.75" customHeight="1" x14ac:dyDescent="0.25">
      <c r="A342" s="6"/>
      <c r="B342" s="6">
        <v>340</v>
      </c>
      <c r="C342" s="12" t="str">
        <f t="shared" si="6"/>
        <v>KEB-340</v>
      </c>
      <c r="D342" s="46" t="s">
        <v>352</v>
      </c>
      <c r="E342" s="12" t="s">
        <v>301</v>
      </c>
      <c r="F342" s="12">
        <v>10</v>
      </c>
      <c r="G342" s="12" t="str">
        <f>IFERROR(VLOOKUP(F342,Setup!B:C,2,FALSE),"")</f>
        <v>10mbps</v>
      </c>
      <c r="H342" s="13">
        <f>IFERROR(VLOOKUP(G342,Setup!C:D,2,FALSE),"")</f>
        <v>100000</v>
      </c>
      <c r="I342" s="6"/>
    </row>
    <row r="343" spans="1:9" ht="12.75" customHeight="1" x14ac:dyDescent="0.25">
      <c r="A343" s="6"/>
      <c r="B343" s="6">
        <v>341</v>
      </c>
      <c r="C343" s="12" t="str">
        <f t="shared" si="6"/>
        <v>KEB-341</v>
      </c>
      <c r="D343" s="46" t="s">
        <v>353</v>
      </c>
      <c r="E343" s="12" t="s">
        <v>301</v>
      </c>
      <c r="F343" s="12">
        <v>10</v>
      </c>
      <c r="G343" s="12" t="str">
        <f>IFERROR(VLOOKUP(F343,Setup!B:C,2,FALSE),"")</f>
        <v>10mbps</v>
      </c>
      <c r="H343" s="13">
        <f>IFERROR(VLOOKUP(G343,Setup!C:D,2,FALSE),"")</f>
        <v>100000</v>
      </c>
      <c r="I343" s="6"/>
    </row>
    <row r="344" spans="1:9" ht="12.75" customHeight="1" x14ac:dyDescent="0.25">
      <c r="A344" s="6"/>
      <c r="B344" s="6">
        <v>342</v>
      </c>
      <c r="C344" s="12" t="str">
        <f t="shared" si="6"/>
        <v>KEB-342</v>
      </c>
      <c r="D344" s="46" t="s">
        <v>354</v>
      </c>
      <c r="E344" s="12" t="s">
        <v>301</v>
      </c>
      <c r="F344" s="12">
        <v>10</v>
      </c>
      <c r="G344" s="12" t="str">
        <f>IFERROR(VLOOKUP(F344,Setup!B:C,2,FALSE),"")</f>
        <v>10mbps</v>
      </c>
      <c r="H344" s="13">
        <f>IFERROR(VLOOKUP(G344,Setup!C:D,2,FALSE),"")</f>
        <v>100000</v>
      </c>
      <c r="I344" s="6"/>
    </row>
    <row r="345" spans="1:9" ht="12.75" customHeight="1" x14ac:dyDescent="0.25">
      <c r="A345" s="6"/>
      <c r="B345" s="6">
        <v>343</v>
      </c>
      <c r="C345" s="12" t="str">
        <f t="shared" si="6"/>
        <v>KEB-343</v>
      </c>
      <c r="D345" s="46" t="s">
        <v>355</v>
      </c>
      <c r="E345" s="12" t="s">
        <v>301</v>
      </c>
      <c r="F345" s="12">
        <v>10</v>
      </c>
      <c r="G345" s="12" t="str">
        <f>IFERROR(VLOOKUP(F345,Setup!B:C,2,FALSE),"")</f>
        <v>10mbps</v>
      </c>
      <c r="H345" s="13">
        <f>IFERROR(VLOOKUP(G345,Setup!C:D,2,FALSE),"")</f>
        <v>100000</v>
      </c>
      <c r="I345" s="6"/>
    </row>
    <row r="346" spans="1:9" ht="12.75" customHeight="1" x14ac:dyDescent="0.25">
      <c r="A346" s="6"/>
      <c r="B346" s="6">
        <v>344</v>
      </c>
      <c r="C346" s="12" t="str">
        <f t="shared" si="6"/>
        <v>KEB-344</v>
      </c>
      <c r="D346" s="46" t="s">
        <v>356</v>
      </c>
      <c r="E346" s="12" t="s">
        <v>301</v>
      </c>
      <c r="F346" s="12">
        <v>10</v>
      </c>
      <c r="G346" s="12" t="str">
        <f>IFERROR(VLOOKUP(F346,Setup!B:C,2,FALSE),"")</f>
        <v>10mbps</v>
      </c>
      <c r="H346" s="13">
        <f>IFERROR(VLOOKUP(G346,Setup!C:D,2,FALSE),"")</f>
        <v>100000</v>
      </c>
      <c r="I346" s="6"/>
    </row>
    <row r="347" spans="1:9" ht="12.75" customHeight="1" x14ac:dyDescent="0.25">
      <c r="A347" s="6"/>
      <c r="B347" s="6">
        <v>345</v>
      </c>
      <c r="C347" s="12" t="str">
        <f t="shared" si="6"/>
        <v>KEB-345</v>
      </c>
      <c r="D347" s="46" t="s">
        <v>357</v>
      </c>
      <c r="E347" s="12" t="s">
        <v>301</v>
      </c>
      <c r="F347" s="12">
        <v>10</v>
      </c>
      <c r="G347" s="12" t="str">
        <f>IFERROR(VLOOKUP(F347,Setup!B:C,2,FALSE),"")</f>
        <v>10mbps</v>
      </c>
      <c r="H347" s="13">
        <f>IFERROR(VLOOKUP(G347,Setup!C:D,2,FALSE),"")</f>
        <v>100000</v>
      </c>
      <c r="I347" s="6"/>
    </row>
    <row r="348" spans="1:9" ht="12.75" customHeight="1" x14ac:dyDescent="0.25">
      <c r="A348" s="6"/>
      <c r="B348" s="6">
        <v>346</v>
      </c>
      <c r="C348" s="12" t="str">
        <f t="shared" si="6"/>
        <v>KEB-346</v>
      </c>
      <c r="D348" s="46" t="s">
        <v>358</v>
      </c>
      <c r="E348" s="12" t="s">
        <v>301</v>
      </c>
      <c r="F348" s="12">
        <v>10</v>
      </c>
      <c r="G348" s="12" t="str">
        <f>IFERROR(VLOOKUP(F348,Setup!B:C,2,FALSE),"")</f>
        <v>10mbps</v>
      </c>
      <c r="H348" s="13">
        <f>IFERROR(VLOOKUP(G348,Setup!C:D,2,FALSE),"")</f>
        <v>100000</v>
      </c>
      <c r="I348" s="6"/>
    </row>
    <row r="349" spans="1:9" ht="12.75" customHeight="1" x14ac:dyDescent="0.25">
      <c r="A349" s="6"/>
      <c r="B349" s="6">
        <v>347</v>
      </c>
      <c r="C349" s="12" t="str">
        <f t="shared" si="6"/>
        <v>KEB-347</v>
      </c>
      <c r="D349" s="46" t="s">
        <v>359</v>
      </c>
      <c r="E349" s="12" t="s">
        <v>301</v>
      </c>
      <c r="F349" s="12">
        <v>10</v>
      </c>
      <c r="G349" s="12" t="str">
        <f>IFERROR(VLOOKUP(F349,Setup!B:C,2,FALSE),"")</f>
        <v>10mbps</v>
      </c>
      <c r="H349" s="13">
        <f>IFERROR(VLOOKUP(G349,Setup!C:D,2,FALSE),"")</f>
        <v>100000</v>
      </c>
      <c r="I349" s="6"/>
    </row>
    <row r="350" spans="1:9" ht="12.75" customHeight="1" x14ac:dyDescent="0.25">
      <c r="A350" s="6"/>
      <c r="B350" s="6">
        <v>348</v>
      </c>
      <c r="C350" s="12" t="str">
        <f t="shared" si="6"/>
        <v>KEB-348</v>
      </c>
      <c r="D350" s="46" t="s">
        <v>360</v>
      </c>
      <c r="E350" s="12" t="s">
        <v>301</v>
      </c>
      <c r="F350" s="12">
        <v>10</v>
      </c>
      <c r="G350" s="12" t="str">
        <f>IFERROR(VLOOKUP(F350,Setup!B:C,2,FALSE),"")</f>
        <v>10mbps</v>
      </c>
      <c r="H350" s="13">
        <f>IFERROR(VLOOKUP(G350,Setup!C:D,2,FALSE),"")</f>
        <v>100000</v>
      </c>
      <c r="I350" s="6"/>
    </row>
    <row r="351" spans="1:9" ht="12.75" customHeight="1" x14ac:dyDescent="0.25">
      <c r="A351" s="6"/>
      <c r="B351" s="6">
        <v>349</v>
      </c>
      <c r="C351" s="12" t="str">
        <f t="shared" si="6"/>
        <v>KEB-349</v>
      </c>
      <c r="D351" s="46" t="s">
        <v>361</v>
      </c>
      <c r="E351" s="12" t="s">
        <v>301</v>
      </c>
      <c r="F351" s="12">
        <v>10</v>
      </c>
      <c r="G351" s="12" t="str">
        <f>IFERROR(VLOOKUP(F351,Setup!B:C,2,FALSE),"")</f>
        <v>10mbps</v>
      </c>
      <c r="H351" s="13">
        <f>IFERROR(VLOOKUP(G351,Setup!C:D,2,FALSE),"")</f>
        <v>100000</v>
      </c>
      <c r="I351" s="6"/>
    </row>
    <row r="352" spans="1:9" ht="12.75" customHeight="1" x14ac:dyDescent="0.25">
      <c r="A352" s="6"/>
      <c r="B352" s="6">
        <v>350</v>
      </c>
      <c r="C352" s="12" t="str">
        <f t="shared" si="6"/>
        <v>KEB-350</v>
      </c>
      <c r="D352" s="46" t="s">
        <v>362</v>
      </c>
      <c r="E352" s="12" t="s">
        <v>301</v>
      </c>
      <c r="F352" s="12">
        <v>10</v>
      </c>
      <c r="G352" s="12" t="str">
        <f>IFERROR(VLOOKUP(F352,Setup!B:C,2,FALSE),"")</f>
        <v>10mbps</v>
      </c>
      <c r="H352" s="13">
        <f>IFERROR(VLOOKUP(G352,Setup!C:D,2,FALSE),"")</f>
        <v>100000</v>
      </c>
      <c r="I352" s="6"/>
    </row>
    <row r="353" spans="1:9" ht="12.75" customHeight="1" x14ac:dyDescent="0.25">
      <c r="A353" s="6"/>
      <c r="B353" s="6">
        <v>351</v>
      </c>
      <c r="C353" s="12" t="str">
        <f t="shared" si="6"/>
        <v>KEB-351</v>
      </c>
      <c r="D353" s="46" t="s">
        <v>363</v>
      </c>
      <c r="E353" s="12" t="s">
        <v>301</v>
      </c>
      <c r="F353" s="12">
        <v>10</v>
      </c>
      <c r="G353" s="12" t="str">
        <f>IFERROR(VLOOKUP(F353,Setup!B:C,2,FALSE),"")</f>
        <v>10mbps</v>
      </c>
      <c r="H353" s="13">
        <f>IFERROR(VLOOKUP(G353,Setup!C:D,2,FALSE),"")</f>
        <v>100000</v>
      </c>
      <c r="I353" s="6"/>
    </row>
    <row r="354" spans="1:9" ht="12.75" customHeight="1" x14ac:dyDescent="0.25">
      <c r="A354" s="6"/>
      <c r="B354" s="6">
        <v>352</v>
      </c>
      <c r="C354" s="12" t="str">
        <f t="shared" si="6"/>
        <v>KEB-352</v>
      </c>
      <c r="D354" s="46" t="s">
        <v>364</v>
      </c>
      <c r="E354" s="12" t="s">
        <v>301</v>
      </c>
      <c r="F354" s="12">
        <v>10</v>
      </c>
      <c r="G354" s="12" t="str">
        <f>IFERROR(VLOOKUP(F354,Setup!B:C,2,FALSE),"")</f>
        <v>10mbps</v>
      </c>
      <c r="H354" s="13">
        <f>IFERROR(VLOOKUP(G354,Setup!C:D,2,FALSE),"")</f>
        <v>100000</v>
      </c>
      <c r="I354" s="6"/>
    </row>
    <row r="355" spans="1:9" ht="12.75" customHeight="1" x14ac:dyDescent="0.25">
      <c r="A355" s="6"/>
      <c r="B355" s="6">
        <v>353</v>
      </c>
      <c r="C355" s="12" t="str">
        <f t="shared" si="6"/>
        <v>KEB-353</v>
      </c>
      <c r="D355" s="46" t="s">
        <v>365</v>
      </c>
      <c r="E355" s="12" t="s">
        <v>301</v>
      </c>
      <c r="F355" s="12">
        <v>10</v>
      </c>
      <c r="G355" s="12" t="str">
        <f>IFERROR(VLOOKUP(F355,Setup!B:C,2,FALSE),"")</f>
        <v>10mbps</v>
      </c>
      <c r="H355" s="13">
        <f>IFERROR(VLOOKUP(G355,Setup!C:D,2,FALSE),"")</f>
        <v>100000</v>
      </c>
      <c r="I355" s="6"/>
    </row>
    <row r="356" spans="1:9" ht="12.75" customHeight="1" x14ac:dyDescent="0.25">
      <c r="A356" s="6"/>
      <c r="B356" s="6">
        <v>354</v>
      </c>
      <c r="C356" s="12" t="str">
        <f t="shared" si="6"/>
        <v>KEB-354</v>
      </c>
      <c r="D356" s="46" t="s">
        <v>366</v>
      </c>
      <c r="E356" s="12" t="s">
        <v>301</v>
      </c>
      <c r="F356" s="12">
        <v>10</v>
      </c>
      <c r="G356" s="12" t="str">
        <f>IFERROR(VLOOKUP(F356,Setup!B:C,2,FALSE),"")</f>
        <v>10mbps</v>
      </c>
      <c r="H356" s="13">
        <f>IFERROR(VLOOKUP(G356,Setup!C:D,2,FALSE),"")</f>
        <v>100000</v>
      </c>
      <c r="I356" s="6"/>
    </row>
    <row r="357" spans="1:9" ht="12.75" customHeight="1" x14ac:dyDescent="0.25">
      <c r="A357" s="6"/>
      <c r="B357" s="6">
        <v>355</v>
      </c>
      <c r="C357" s="12" t="str">
        <f t="shared" si="6"/>
        <v>KEB-355</v>
      </c>
      <c r="D357" s="46" t="s">
        <v>367</v>
      </c>
      <c r="E357" s="12" t="s">
        <v>301</v>
      </c>
      <c r="F357" s="12">
        <v>10</v>
      </c>
      <c r="G357" s="12" t="str">
        <f>IFERROR(VLOOKUP(F357,Setup!B:C,2,FALSE),"")</f>
        <v>10mbps</v>
      </c>
      <c r="H357" s="13">
        <f>IFERROR(VLOOKUP(G357,Setup!C:D,2,FALSE),"")</f>
        <v>100000</v>
      </c>
      <c r="I357" s="6"/>
    </row>
    <row r="358" spans="1:9" ht="12.75" customHeight="1" x14ac:dyDescent="0.25">
      <c r="A358" s="6"/>
      <c r="B358" s="6">
        <v>356</v>
      </c>
      <c r="C358" s="12" t="str">
        <f t="shared" si="6"/>
        <v>KEB-356</v>
      </c>
      <c r="D358" s="46" t="s">
        <v>368</v>
      </c>
      <c r="E358" s="12" t="s">
        <v>301</v>
      </c>
      <c r="F358" s="12">
        <v>10</v>
      </c>
      <c r="G358" s="12" t="str">
        <f>IFERROR(VLOOKUP(F358,Setup!B:C,2,FALSE),"")</f>
        <v>10mbps</v>
      </c>
      <c r="H358" s="13">
        <f>IFERROR(VLOOKUP(G358,Setup!C:D,2,FALSE),"")</f>
        <v>100000</v>
      </c>
      <c r="I358" s="6"/>
    </row>
    <row r="359" spans="1:9" ht="12.75" customHeight="1" x14ac:dyDescent="0.25">
      <c r="A359" s="6"/>
      <c r="B359" s="6">
        <v>357</v>
      </c>
      <c r="C359" s="12" t="str">
        <f t="shared" si="6"/>
        <v>KEB-357</v>
      </c>
      <c r="D359" s="46" t="s">
        <v>369</v>
      </c>
      <c r="E359" s="12" t="s">
        <v>301</v>
      </c>
      <c r="F359" s="12">
        <v>10</v>
      </c>
      <c r="G359" s="12" t="str">
        <f>IFERROR(VLOOKUP(F359,Setup!B:C,2,FALSE),"")</f>
        <v>10mbps</v>
      </c>
      <c r="H359" s="13">
        <f>IFERROR(VLOOKUP(G359,Setup!C:D,2,FALSE),"")</f>
        <v>100000</v>
      </c>
      <c r="I359" s="6"/>
    </row>
    <row r="360" spans="1:9" ht="12.75" customHeight="1" x14ac:dyDescent="0.25">
      <c r="A360" s="6"/>
      <c r="B360" s="6">
        <v>358</v>
      </c>
      <c r="C360" s="12" t="str">
        <f t="shared" si="6"/>
        <v>KEB-358</v>
      </c>
      <c r="D360" s="46" t="s">
        <v>370</v>
      </c>
      <c r="E360" s="12" t="s">
        <v>301</v>
      </c>
      <c r="F360" s="12">
        <v>10</v>
      </c>
      <c r="G360" s="12" t="str">
        <f>IFERROR(VLOOKUP(F360,Setup!B:C,2,FALSE),"")</f>
        <v>10mbps</v>
      </c>
      <c r="H360" s="13">
        <f>IFERROR(VLOOKUP(G360,Setup!C:D,2,FALSE),"")</f>
        <v>100000</v>
      </c>
      <c r="I360" s="6"/>
    </row>
    <row r="361" spans="1:9" ht="12.75" customHeight="1" x14ac:dyDescent="0.25">
      <c r="A361" s="6"/>
      <c r="B361" s="6">
        <v>359</v>
      </c>
      <c r="C361" s="12" t="str">
        <f t="shared" si="6"/>
        <v>KEB-359</v>
      </c>
      <c r="D361" s="46" t="s">
        <v>371</v>
      </c>
      <c r="E361" s="12" t="s">
        <v>301</v>
      </c>
      <c r="F361" s="12">
        <v>10</v>
      </c>
      <c r="G361" s="12" t="str">
        <f>IFERROR(VLOOKUP(F361,Setup!B:C,2,FALSE),"")</f>
        <v>10mbps</v>
      </c>
      <c r="H361" s="13">
        <f>IFERROR(VLOOKUP(G361,Setup!C:D,2,FALSE),"")</f>
        <v>100000</v>
      </c>
      <c r="I361" s="6"/>
    </row>
    <row r="362" spans="1:9" ht="12.75" customHeight="1" x14ac:dyDescent="0.25">
      <c r="A362" s="6"/>
      <c r="B362" s="6">
        <v>360</v>
      </c>
      <c r="C362" s="12" t="str">
        <f t="shared" si="6"/>
        <v>KEB-360</v>
      </c>
      <c r="D362" s="46" t="s">
        <v>372</v>
      </c>
      <c r="E362" s="12" t="s">
        <v>301</v>
      </c>
      <c r="F362" s="12">
        <v>10</v>
      </c>
      <c r="G362" s="12" t="str">
        <f>IFERROR(VLOOKUP(F362,Setup!B:C,2,FALSE),"")</f>
        <v>10mbps</v>
      </c>
      <c r="H362" s="13">
        <f>IFERROR(VLOOKUP(G362,Setup!C:D,2,FALSE),"")</f>
        <v>100000</v>
      </c>
      <c r="I362" s="6"/>
    </row>
    <row r="363" spans="1:9" ht="12.75" customHeight="1" x14ac:dyDescent="0.25">
      <c r="A363" s="6"/>
      <c r="B363" s="6">
        <v>361</v>
      </c>
      <c r="C363" s="12" t="str">
        <f t="shared" si="6"/>
        <v>KEB-361</v>
      </c>
      <c r="D363" s="46" t="s">
        <v>373</v>
      </c>
      <c r="E363" s="12" t="s">
        <v>301</v>
      </c>
      <c r="F363" s="12">
        <v>10</v>
      </c>
      <c r="G363" s="12" t="str">
        <f>IFERROR(VLOOKUP(F363,Setup!B:C,2,FALSE),"")</f>
        <v>10mbps</v>
      </c>
      <c r="H363" s="13">
        <f>IFERROR(VLOOKUP(G363,Setup!C:D,2,FALSE),"")</f>
        <v>100000</v>
      </c>
      <c r="I363" s="6"/>
    </row>
    <row r="364" spans="1:9" ht="12.75" customHeight="1" x14ac:dyDescent="0.25">
      <c r="A364" s="6"/>
      <c r="B364" s="6">
        <v>362</v>
      </c>
      <c r="C364" s="12" t="str">
        <f t="shared" si="6"/>
        <v>KEB-362</v>
      </c>
      <c r="D364" s="46" t="s">
        <v>374</v>
      </c>
      <c r="E364" s="12" t="s">
        <v>301</v>
      </c>
      <c r="F364" s="12">
        <v>10</v>
      </c>
      <c r="G364" s="12" t="str">
        <f>IFERROR(VLOOKUP(F364,Setup!B:C,2,FALSE),"")</f>
        <v>10mbps</v>
      </c>
      <c r="H364" s="13">
        <v>75000</v>
      </c>
      <c r="I364" s="6"/>
    </row>
    <row r="365" spans="1:9" ht="12.75" customHeight="1" x14ac:dyDescent="0.25">
      <c r="A365" s="6"/>
      <c r="B365" s="6">
        <v>363</v>
      </c>
      <c r="C365" s="12" t="str">
        <f t="shared" si="6"/>
        <v>KEB-363</v>
      </c>
      <c r="D365" s="46" t="s">
        <v>375</v>
      </c>
      <c r="E365" s="12" t="s">
        <v>301</v>
      </c>
      <c r="F365" s="12">
        <v>10</v>
      </c>
      <c r="G365" s="12" t="str">
        <f>IFERROR(VLOOKUP(F365,Setup!B:C,2,FALSE),"")</f>
        <v>10mbps</v>
      </c>
      <c r="H365" s="13">
        <v>75000</v>
      </c>
      <c r="I365" s="6"/>
    </row>
    <row r="366" spans="1:9" ht="12.75" customHeight="1" x14ac:dyDescent="0.25">
      <c r="A366" s="6"/>
      <c r="B366" s="6">
        <v>364</v>
      </c>
      <c r="C366" s="12" t="str">
        <f t="shared" si="6"/>
        <v>KEB-364</v>
      </c>
      <c r="D366" s="46" t="s">
        <v>376</v>
      </c>
      <c r="E366" s="12" t="s">
        <v>301</v>
      </c>
      <c r="F366" s="12">
        <v>10</v>
      </c>
      <c r="G366" s="12" t="str">
        <f>IFERROR(VLOOKUP(F366,Setup!B:C,2,FALSE),"")</f>
        <v>10mbps</v>
      </c>
      <c r="H366" s="13">
        <f>IFERROR(VLOOKUP(G366,Setup!C:D,2,FALSE),"")</f>
        <v>100000</v>
      </c>
      <c r="I366" s="6"/>
    </row>
    <row r="367" spans="1:9" ht="12.75" customHeight="1" x14ac:dyDescent="0.25">
      <c r="A367" s="6"/>
      <c r="B367" s="6">
        <v>365</v>
      </c>
      <c r="C367" s="12" t="str">
        <f t="shared" si="6"/>
        <v>KEB-365</v>
      </c>
      <c r="D367" s="46" t="s">
        <v>377</v>
      </c>
      <c r="E367" s="12" t="s">
        <v>301</v>
      </c>
      <c r="F367" s="12">
        <v>10</v>
      </c>
      <c r="G367" s="12" t="str">
        <f>IFERROR(VLOOKUP(F367,Setup!B:C,2,FALSE),"")</f>
        <v>10mbps</v>
      </c>
      <c r="H367" s="13">
        <f>IFERROR(VLOOKUP(G367,Setup!C:D,2,FALSE),"")</f>
        <v>100000</v>
      </c>
      <c r="I367" s="6"/>
    </row>
    <row r="368" spans="1:9" ht="12.75" customHeight="1" x14ac:dyDescent="0.25">
      <c r="A368" s="6"/>
      <c r="B368" s="6">
        <v>366</v>
      </c>
      <c r="C368" s="12" t="str">
        <f t="shared" si="6"/>
        <v>KEB-366</v>
      </c>
      <c r="D368" s="46" t="s">
        <v>378</v>
      </c>
      <c r="E368" s="12" t="s">
        <v>301</v>
      </c>
      <c r="F368" s="12">
        <v>10</v>
      </c>
      <c r="G368" s="12" t="str">
        <f>IFERROR(VLOOKUP(F368,Setup!B:C,2,FALSE),"")</f>
        <v>10mbps</v>
      </c>
      <c r="H368" s="13">
        <f>IFERROR(VLOOKUP(G368,Setup!C:D,2,FALSE),"")</f>
        <v>100000</v>
      </c>
      <c r="I368" s="6"/>
    </row>
    <row r="369" spans="1:9" ht="12.75" customHeight="1" x14ac:dyDescent="0.25">
      <c r="A369" s="6"/>
      <c r="B369" s="6">
        <v>367</v>
      </c>
      <c r="C369" s="12" t="str">
        <f t="shared" si="6"/>
        <v>KEB-367</v>
      </c>
      <c r="D369" s="46" t="s">
        <v>379</v>
      </c>
      <c r="E369" s="12" t="s">
        <v>301</v>
      </c>
      <c r="F369" s="12">
        <v>10</v>
      </c>
      <c r="G369" s="12" t="str">
        <f>IFERROR(VLOOKUP(F369,Setup!B:C,2,FALSE),"")</f>
        <v>10mbps</v>
      </c>
      <c r="H369" s="13">
        <v>75000</v>
      </c>
      <c r="I369" s="6"/>
    </row>
    <row r="370" spans="1:9" ht="12.75" customHeight="1" x14ac:dyDescent="0.25">
      <c r="A370" s="6"/>
      <c r="B370" s="6">
        <v>368</v>
      </c>
      <c r="C370" s="12" t="str">
        <f t="shared" si="6"/>
        <v>KEB-368</v>
      </c>
      <c r="D370" s="46" t="s">
        <v>380</v>
      </c>
      <c r="E370" s="12" t="s">
        <v>301</v>
      </c>
      <c r="F370" s="12">
        <v>10</v>
      </c>
      <c r="G370" s="12" t="str">
        <f>IFERROR(VLOOKUP(F370,Setup!B:C,2,FALSE),"")</f>
        <v>10mbps</v>
      </c>
      <c r="H370" s="13" t="s">
        <v>552</v>
      </c>
      <c r="I370" s="6"/>
    </row>
    <row r="371" spans="1:9" ht="12.75" customHeight="1" x14ac:dyDescent="0.25">
      <c r="A371" s="6"/>
      <c r="B371" s="6">
        <v>369</v>
      </c>
      <c r="C371" s="12" t="str">
        <f t="shared" si="6"/>
        <v>SUM-369</v>
      </c>
      <c r="D371" s="46" t="s">
        <v>381</v>
      </c>
      <c r="E371" s="12" t="s">
        <v>192</v>
      </c>
      <c r="F371" s="12">
        <v>10</v>
      </c>
      <c r="G371" s="12" t="str">
        <f>IFERROR(VLOOKUP(F371,Setup!B:C,2,FALSE),"")</f>
        <v>10mbps</v>
      </c>
      <c r="H371" s="13">
        <f>IFERROR(VLOOKUP(G371,Setup!C:D,2,FALSE),"")</f>
        <v>100000</v>
      </c>
      <c r="I371" s="6"/>
    </row>
    <row r="372" spans="1:9" ht="12.75" customHeight="1" x14ac:dyDescent="0.25">
      <c r="A372" s="6"/>
      <c r="B372" s="6">
        <v>370</v>
      </c>
      <c r="C372" s="12" t="str">
        <f t="shared" si="6"/>
        <v>SUM-370</v>
      </c>
      <c r="D372" s="46" t="s">
        <v>382</v>
      </c>
      <c r="E372" s="12" t="s">
        <v>192</v>
      </c>
      <c r="F372" s="12">
        <v>10</v>
      </c>
      <c r="G372" s="12" t="str">
        <f>IFERROR(VLOOKUP(F372,Setup!B:C,2,FALSE),"")</f>
        <v>10mbps</v>
      </c>
      <c r="H372" s="13">
        <f>IFERROR(VLOOKUP(G372,Setup!C:D,2,FALSE),"")</f>
        <v>100000</v>
      </c>
      <c r="I372" s="6"/>
    </row>
    <row r="373" spans="1:9" ht="12.75" customHeight="1" x14ac:dyDescent="0.25">
      <c r="A373" s="6"/>
      <c r="B373" s="6">
        <v>371</v>
      </c>
      <c r="C373" s="12" t="str">
        <f t="shared" si="6"/>
        <v>SUM-371</v>
      </c>
      <c r="D373" s="46" t="s">
        <v>383</v>
      </c>
      <c r="E373" s="12" t="s">
        <v>192</v>
      </c>
      <c r="F373" s="12">
        <v>10</v>
      </c>
      <c r="G373" s="12" t="str">
        <f>IFERROR(VLOOKUP(F373,Setup!B:C,2,FALSE),"")</f>
        <v>10mbps</v>
      </c>
      <c r="H373" s="13">
        <f>IFERROR(VLOOKUP(G373,Setup!C:D,2,FALSE),"")</f>
        <v>100000</v>
      </c>
      <c r="I373" s="6"/>
    </row>
    <row r="374" spans="1:9" ht="12.75" customHeight="1" x14ac:dyDescent="0.25">
      <c r="A374" s="6"/>
      <c r="B374" s="6">
        <v>372</v>
      </c>
      <c r="C374" s="12" t="str">
        <f t="shared" si="6"/>
        <v>SUM-372</v>
      </c>
      <c r="D374" s="46" t="s">
        <v>384</v>
      </c>
      <c r="E374" s="12" t="s">
        <v>192</v>
      </c>
      <c r="F374" s="12">
        <v>10</v>
      </c>
      <c r="G374" s="12" t="str">
        <f>IFERROR(VLOOKUP(F374,Setup!B:C,2,FALSE),"")</f>
        <v>10mbps</v>
      </c>
      <c r="H374" s="13">
        <f>IFERROR(VLOOKUP(G374,Setup!C:D,2,FALSE),"")</f>
        <v>100000</v>
      </c>
      <c r="I374" s="6"/>
    </row>
    <row r="375" spans="1:9" ht="12.75" customHeight="1" x14ac:dyDescent="0.25">
      <c r="A375" s="6"/>
      <c r="B375" s="6">
        <v>373</v>
      </c>
      <c r="C375" s="12" t="str">
        <f t="shared" si="6"/>
        <v>SUM-373</v>
      </c>
      <c r="D375" s="46" t="s">
        <v>385</v>
      </c>
      <c r="E375" s="12" t="s">
        <v>192</v>
      </c>
      <c r="F375" s="12">
        <v>10</v>
      </c>
      <c r="G375" s="12" t="str">
        <f>IFERROR(VLOOKUP(F375,Setup!B:C,2,FALSE),"")</f>
        <v>10mbps</v>
      </c>
      <c r="H375" s="13">
        <f>IFERROR(VLOOKUP(G375,Setup!C:D,2,FALSE),"")</f>
        <v>100000</v>
      </c>
      <c r="I375" s="6"/>
    </row>
    <row r="376" spans="1:9" ht="12.75" customHeight="1" x14ac:dyDescent="0.25">
      <c r="A376" s="6"/>
      <c r="B376" s="6">
        <v>374</v>
      </c>
      <c r="C376" s="12" t="str">
        <f t="shared" si="6"/>
        <v>SUM-374</v>
      </c>
      <c r="D376" s="46" t="s">
        <v>386</v>
      </c>
      <c r="E376" s="12" t="s">
        <v>192</v>
      </c>
      <c r="F376" s="12">
        <v>10</v>
      </c>
      <c r="G376" s="12" t="str">
        <f>IFERROR(VLOOKUP(F376,Setup!B:C,2,FALSE),"")</f>
        <v>10mbps</v>
      </c>
      <c r="H376" s="13">
        <f>IFERROR(VLOOKUP(G376,Setup!C:D,2,FALSE),"")</f>
        <v>100000</v>
      </c>
      <c r="I376" s="6"/>
    </row>
    <row r="377" spans="1:9" ht="12.75" customHeight="1" x14ac:dyDescent="0.25">
      <c r="A377" s="6"/>
      <c r="B377" s="6">
        <v>375</v>
      </c>
      <c r="C377" s="12" t="str">
        <f t="shared" si="6"/>
        <v>SUM-375</v>
      </c>
      <c r="D377" s="46" t="s">
        <v>387</v>
      </c>
      <c r="E377" s="12" t="s">
        <v>192</v>
      </c>
      <c r="F377" s="12">
        <v>10</v>
      </c>
      <c r="G377" s="12" t="str">
        <f>IFERROR(VLOOKUP(F377,Setup!B:C,2,FALSE),"")</f>
        <v>10mbps</v>
      </c>
      <c r="H377" s="13">
        <f>IFERROR(VLOOKUP(G377,Setup!C:D,2,FALSE),"")</f>
        <v>100000</v>
      </c>
      <c r="I377" s="6"/>
    </row>
    <row r="378" spans="1:9" ht="12.75" customHeight="1" x14ac:dyDescent="0.25">
      <c r="A378" s="6"/>
      <c r="B378" s="6">
        <v>376</v>
      </c>
      <c r="C378" s="12" t="str">
        <f t="shared" si="6"/>
        <v>SUM-376</v>
      </c>
      <c r="D378" s="46" t="s">
        <v>388</v>
      </c>
      <c r="E378" s="12" t="s">
        <v>192</v>
      </c>
      <c r="F378" s="12">
        <v>10</v>
      </c>
      <c r="G378" s="12" t="str">
        <f>IFERROR(VLOOKUP(F378,Setup!B:C,2,FALSE),"")</f>
        <v>10mbps</v>
      </c>
      <c r="H378" s="13">
        <f>IFERROR(VLOOKUP(G378,Setup!C:D,2,FALSE),"")</f>
        <v>100000</v>
      </c>
      <c r="I378" s="6"/>
    </row>
    <row r="379" spans="1:9" ht="12.75" customHeight="1" x14ac:dyDescent="0.25">
      <c r="A379" s="6"/>
      <c r="B379" s="6">
        <v>377</v>
      </c>
      <c r="C379" s="12" t="str">
        <f t="shared" si="6"/>
        <v>SUM-377</v>
      </c>
      <c r="D379" s="46" t="s">
        <v>389</v>
      </c>
      <c r="E379" s="12" t="s">
        <v>192</v>
      </c>
      <c r="F379" s="12">
        <v>10</v>
      </c>
      <c r="G379" s="12" t="str">
        <f>IFERROR(VLOOKUP(F379,Setup!B:C,2,FALSE),"")</f>
        <v>10mbps</v>
      </c>
      <c r="H379" s="13">
        <f>IFERROR(VLOOKUP(G379,Setup!C:D,2,FALSE),"")</f>
        <v>100000</v>
      </c>
      <c r="I379" s="6"/>
    </row>
    <row r="380" spans="1:9" ht="12.75" customHeight="1" x14ac:dyDescent="0.25">
      <c r="A380" s="6"/>
      <c r="B380" s="6">
        <v>378</v>
      </c>
      <c r="C380" s="12" t="str">
        <f t="shared" si="6"/>
        <v>SUM-378</v>
      </c>
      <c r="D380" s="46" t="s">
        <v>390</v>
      </c>
      <c r="E380" s="12" t="s">
        <v>192</v>
      </c>
      <c r="F380" s="12">
        <v>10</v>
      </c>
      <c r="G380" s="12" t="str">
        <f>IFERROR(VLOOKUP(F380,Setup!B:C,2,FALSE),"")</f>
        <v>10mbps</v>
      </c>
      <c r="H380" s="13">
        <f>IFERROR(VLOOKUP(G380,Setup!C:D,2,FALSE),"")</f>
        <v>100000</v>
      </c>
      <c r="I380" s="6"/>
    </row>
    <row r="381" spans="1:9" ht="12.75" customHeight="1" x14ac:dyDescent="0.25">
      <c r="A381" s="6"/>
      <c r="B381" s="6">
        <v>379</v>
      </c>
      <c r="C381" s="12" t="str">
        <f t="shared" si="6"/>
        <v>SUM-379</v>
      </c>
      <c r="D381" s="46" t="s">
        <v>391</v>
      </c>
      <c r="E381" s="12" t="s">
        <v>192</v>
      </c>
      <c r="F381" s="12">
        <v>10</v>
      </c>
      <c r="G381" s="12" t="str">
        <f>IFERROR(VLOOKUP(F381,Setup!B:C,2,FALSE),"")</f>
        <v>10mbps</v>
      </c>
      <c r="H381" s="13">
        <f>IFERROR(VLOOKUP(G381,Setup!C:D,2,FALSE),"")</f>
        <v>100000</v>
      </c>
      <c r="I381" s="6"/>
    </row>
    <row r="382" spans="1:9" ht="12.75" customHeight="1" x14ac:dyDescent="0.25">
      <c r="A382" s="6"/>
      <c r="B382" s="6">
        <v>380</v>
      </c>
      <c r="C382" s="12" t="str">
        <f t="shared" si="6"/>
        <v>SUM-380</v>
      </c>
      <c r="D382" s="46" t="s">
        <v>392</v>
      </c>
      <c r="E382" s="12" t="s">
        <v>192</v>
      </c>
      <c r="F382" s="12">
        <v>10</v>
      </c>
      <c r="G382" s="12" t="str">
        <f>IFERROR(VLOOKUP(F382,Setup!B:C,2,FALSE),"")</f>
        <v>10mbps</v>
      </c>
      <c r="H382" s="13">
        <f>IFERROR(VLOOKUP(G382,Setup!C:D,2,FALSE),"")</f>
        <v>100000</v>
      </c>
      <c r="I382" s="6"/>
    </row>
    <row r="383" spans="1:9" ht="12.75" customHeight="1" x14ac:dyDescent="0.25">
      <c r="A383" s="6"/>
      <c r="B383" s="6">
        <v>381</v>
      </c>
      <c r="C383" s="12" t="str">
        <f t="shared" si="6"/>
        <v>SUM-381</v>
      </c>
      <c r="D383" s="46" t="s">
        <v>393</v>
      </c>
      <c r="E383" s="12" t="s">
        <v>192</v>
      </c>
      <c r="F383" s="12">
        <v>10</v>
      </c>
      <c r="G383" s="12" t="str">
        <f>IFERROR(VLOOKUP(F383,Setup!B:C,2,FALSE),"")</f>
        <v>10mbps</v>
      </c>
      <c r="H383" s="13">
        <f>IFERROR(VLOOKUP(G383,Setup!C:D,2,FALSE),"")</f>
        <v>100000</v>
      </c>
      <c r="I383" s="6"/>
    </row>
    <row r="384" spans="1:9" ht="12.75" customHeight="1" x14ac:dyDescent="0.25">
      <c r="A384" s="6"/>
      <c r="B384" s="6">
        <v>382</v>
      </c>
      <c r="C384" s="12" t="str">
        <f t="shared" si="6"/>
        <v>SUM-382</v>
      </c>
      <c r="D384" s="46" t="s">
        <v>394</v>
      </c>
      <c r="E384" s="12" t="s">
        <v>192</v>
      </c>
      <c r="F384" s="12">
        <v>10</v>
      </c>
      <c r="G384" s="12" t="str">
        <f>IFERROR(VLOOKUP(F384,Setup!B:C,2,FALSE),"")</f>
        <v>10mbps</v>
      </c>
      <c r="H384" s="13">
        <f>IFERROR(VLOOKUP(G384,Setup!C:D,2,FALSE),"")</f>
        <v>100000</v>
      </c>
      <c r="I384" s="6"/>
    </row>
    <row r="385" spans="1:9" ht="12.75" customHeight="1" x14ac:dyDescent="0.25">
      <c r="A385" s="6"/>
      <c r="B385" s="6">
        <v>383</v>
      </c>
      <c r="C385" s="12" t="str">
        <f t="shared" si="6"/>
        <v>SUM-383</v>
      </c>
      <c r="D385" s="46" t="s">
        <v>395</v>
      </c>
      <c r="E385" s="12" t="s">
        <v>192</v>
      </c>
      <c r="F385" s="12">
        <v>10</v>
      </c>
      <c r="G385" s="12" t="str">
        <f>IFERROR(VLOOKUP(F385,Setup!B:C,2,FALSE),"")</f>
        <v>10mbps</v>
      </c>
      <c r="H385" s="13">
        <f>IFERROR(VLOOKUP(G385,Setup!C:D,2,FALSE),"")</f>
        <v>100000</v>
      </c>
      <c r="I385" s="6"/>
    </row>
    <row r="386" spans="1:9" ht="12.75" customHeight="1" x14ac:dyDescent="0.25">
      <c r="A386" s="6"/>
      <c r="B386" s="6">
        <v>384</v>
      </c>
      <c r="C386" s="12" t="str">
        <f t="shared" si="6"/>
        <v>SUM-384</v>
      </c>
      <c r="D386" s="46" t="s">
        <v>396</v>
      </c>
      <c r="E386" s="12" t="s">
        <v>192</v>
      </c>
      <c r="F386" s="12">
        <v>10</v>
      </c>
      <c r="G386" s="12" t="str">
        <f>IFERROR(VLOOKUP(F386,Setup!B:C,2,FALSE),"")</f>
        <v>10mbps</v>
      </c>
      <c r="H386" s="13">
        <f>IFERROR(VLOOKUP(G386,Setup!C:D,2,FALSE),"")</f>
        <v>100000</v>
      </c>
      <c r="I386" s="6"/>
    </row>
    <row r="387" spans="1:9" ht="12.75" customHeight="1" x14ac:dyDescent="0.25">
      <c r="A387" s="6"/>
      <c r="B387" s="6">
        <v>385</v>
      </c>
      <c r="C387" s="12" t="str">
        <f t="shared" si="6"/>
        <v>SUM-385</v>
      </c>
      <c r="D387" s="46" t="s">
        <v>397</v>
      </c>
      <c r="E387" s="12" t="s">
        <v>192</v>
      </c>
      <c r="F387" s="12">
        <v>10</v>
      </c>
      <c r="G387" s="12" t="str">
        <f>IFERROR(VLOOKUP(F387,Setup!B:C,2,FALSE),"")</f>
        <v>10mbps</v>
      </c>
      <c r="H387" s="13">
        <f>IFERROR(VLOOKUP(G387,Setup!C:D,2,FALSE),"")</f>
        <v>100000</v>
      </c>
      <c r="I387" s="6"/>
    </row>
    <row r="388" spans="1:9" ht="12.75" customHeight="1" x14ac:dyDescent="0.25">
      <c r="A388" s="6"/>
      <c r="B388" s="6">
        <v>386</v>
      </c>
      <c r="C388" s="12" t="str">
        <f t="shared" si="6"/>
        <v>SUM-386</v>
      </c>
      <c r="D388" s="46" t="s">
        <v>398</v>
      </c>
      <c r="E388" s="12" t="s">
        <v>192</v>
      </c>
      <c r="F388" s="12">
        <v>10</v>
      </c>
      <c r="G388" s="12" t="str">
        <f>IFERROR(VLOOKUP(F388,Setup!B:C,2,FALSE),"")</f>
        <v>10mbps</v>
      </c>
      <c r="H388" s="13">
        <f>IFERROR(VLOOKUP(G388,Setup!C:D,2,FALSE),"")</f>
        <v>100000</v>
      </c>
      <c r="I388" s="6"/>
    </row>
    <row r="389" spans="1:9" ht="12.75" customHeight="1" x14ac:dyDescent="0.25">
      <c r="A389" s="6"/>
      <c r="B389" s="6">
        <v>387</v>
      </c>
      <c r="C389" s="12" t="str">
        <f t="shared" si="6"/>
        <v>SUM-387</v>
      </c>
      <c r="D389" s="46" t="s">
        <v>399</v>
      </c>
      <c r="E389" s="12" t="s">
        <v>192</v>
      </c>
      <c r="F389" s="12">
        <v>10</v>
      </c>
      <c r="G389" s="12" t="str">
        <f>IFERROR(VLOOKUP(F389,Setup!B:C,2,FALSE),"")</f>
        <v>10mbps</v>
      </c>
      <c r="H389" s="13">
        <f>IFERROR(VLOOKUP(G389,Setup!C:D,2,FALSE),"")</f>
        <v>100000</v>
      </c>
      <c r="I389" s="6"/>
    </row>
    <row r="390" spans="1:9" ht="12.75" customHeight="1" x14ac:dyDescent="0.25">
      <c r="A390" s="6"/>
      <c r="B390" s="6">
        <v>388</v>
      </c>
      <c r="C390" s="12" t="str">
        <f t="shared" si="6"/>
        <v>SUM-388</v>
      </c>
      <c r="D390" s="46" t="s">
        <v>400</v>
      </c>
      <c r="E390" s="12" t="s">
        <v>192</v>
      </c>
      <c r="F390" s="12">
        <v>10</v>
      </c>
      <c r="G390" s="12" t="str">
        <f>IFERROR(VLOOKUP(F390,Setup!B:C,2,FALSE),"")</f>
        <v>10mbps</v>
      </c>
      <c r="H390" s="13">
        <f>IFERROR(VLOOKUP(G390,Setup!C:D,2,FALSE),"")</f>
        <v>100000</v>
      </c>
      <c r="I390" s="6"/>
    </row>
    <row r="391" spans="1:9" ht="12.75" customHeight="1" x14ac:dyDescent="0.25">
      <c r="A391" s="6"/>
      <c r="B391" s="6">
        <v>389</v>
      </c>
      <c r="C391" s="12" t="str">
        <f t="shared" si="6"/>
        <v>SUM-389</v>
      </c>
      <c r="D391" s="46" t="s">
        <v>401</v>
      </c>
      <c r="E391" s="12" t="s">
        <v>192</v>
      </c>
      <c r="F391" s="12">
        <v>10</v>
      </c>
      <c r="G391" s="12" t="str">
        <f>IFERROR(VLOOKUP(F391,Setup!B:C,2,FALSE),"")</f>
        <v>10mbps</v>
      </c>
      <c r="H391" s="13">
        <f>IFERROR(VLOOKUP(G391,Setup!C:D,2,FALSE),"")</f>
        <v>100000</v>
      </c>
      <c r="I391" s="6"/>
    </row>
    <row r="392" spans="1:9" ht="12.75" customHeight="1" x14ac:dyDescent="0.25">
      <c r="A392" s="6"/>
      <c r="B392" s="6">
        <v>390</v>
      </c>
      <c r="C392" s="12" t="str">
        <f t="shared" si="6"/>
        <v>SUM-390</v>
      </c>
      <c r="D392" s="46" t="s">
        <v>402</v>
      </c>
      <c r="E392" s="12" t="s">
        <v>192</v>
      </c>
      <c r="F392" s="12">
        <v>10</v>
      </c>
      <c r="G392" s="12" t="str">
        <f>IFERROR(VLOOKUP(F392,Setup!B:C,2,FALSE),"")</f>
        <v>10mbps</v>
      </c>
      <c r="H392" s="13">
        <f>IFERROR(VLOOKUP(G392,Setup!C:D,2,FALSE),"")</f>
        <v>100000</v>
      </c>
      <c r="I392" s="6"/>
    </row>
    <row r="393" spans="1:9" ht="12.75" customHeight="1" x14ac:dyDescent="0.25">
      <c r="A393" s="6"/>
      <c r="B393" s="6">
        <v>391</v>
      </c>
      <c r="C393" s="12" t="str">
        <f t="shared" si="6"/>
        <v>SUM-391</v>
      </c>
      <c r="D393" s="46" t="s">
        <v>403</v>
      </c>
      <c r="E393" s="12" t="s">
        <v>192</v>
      </c>
      <c r="F393" s="12">
        <v>10</v>
      </c>
      <c r="G393" s="12" t="str">
        <f>IFERROR(VLOOKUP(F393,Setup!B:C,2,FALSE),"")</f>
        <v>10mbps</v>
      </c>
      <c r="H393" s="13">
        <f>IFERROR(VLOOKUP(G393,Setup!C:D,2,FALSE),"")</f>
        <v>100000</v>
      </c>
      <c r="I393" s="6"/>
    </row>
    <row r="394" spans="1:9" ht="12.75" customHeight="1" x14ac:dyDescent="0.25">
      <c r="A394" s="6"/>
      <c r="B394" s="6">
        <v>392</v>
      </c>
      <c r="C394" s="12" t="str">
        <f t="shared" si="6"/>
        <v>SUM-392</v>
      </c>
      <c r="D394" s="46" t="s">
        <v>404</v>
      </c>
      <c r="E394" s="12" t="s">
        <v>192</v>
      </c>
      <c r="F394" s="12">
        <v>10</v>
      </c>
      <c r="G394" s="12" t="str">
        <f>IFERROR(VLOOKUP(F394,Setup!B:C,2,FALSE),"")</f>
        <v>10mbps</v>
      </c>
      <c r="H394" s="13">
        <f>IFERROR(VLOOKUP(G394,Setup!C:D,2,FALSE),"")</f>
        <v>100000</v>
      </c>
      <c r="I394" s="6"/>
    </row>
    <row r="395" spans="1:9" ht="12.75" customHeight="1" x14ac:dyDescent="0.25">
      <c r="A395" s="6"/>
      <c r="B395" s="6">
        <v>393</v>
      </c>
      <c r="C395" s="12" t="str">
        <f t="shared" ref="C395:C459" si="7">IF(D395="","",LEFT(SUBSTITUTE(UPPER(E395)," ",""),3)&amp;"-"&amp;TEXT(B395,"000"))</f>
        <v>SUM-393</v>
      </c>
      <c r="D395" s="46" t="s">
        <v>405</v>
      </c>
      <c r="E395" s="12" t="s">
        <v>192</v>
      </c>
      <c r="F395" s="12">
        <v>10</v>
      </c>
      <c r="G395" s="12" t="str">
        <f>IFERROR(VLOOKUP(F395,Setup!B:C,2,FALSE),"")</f>
        <v>10mbps</v>
      </c>
      <c r="H395" s="13">
        <f>IFERROR(VLOOKUP(G395,Setup!C:D,2,FALSE),"")</f>
        <v>100000</v>
      </c>
      <c r="I395" s="6"/>
    </row>
    <row r="396" spans="1:9" ht="12.75" customHeight="1" x14ac:dyDescent="0.25">
      <c r="A396" s="6"/>
      <c r="B396" s="6">
        <v>394</v>
      </c>
      <c r="C396" s="12" t="str">
        <f t="shared" si="7"/>
        <v>SUM-394</v>
      </c>
      <c r="D396" s="46" t="s">
        <v>406</v>
      </c>
      <c r="E396" s="12" t="s">
        <v>192</v>
      </c>
      <c r="F396" s="12">
        <v>10</v>
      </c>
      <c r="G396" s="12" t="str">
        <f>IFERROR(VLOOKUP(F396,Setup!B:C,2,FALSE),"")</f>
        <v>10mbps</v>
      </c>
      <c r="H396" s="13">
        <f>IFERROR(VLOOKUP(G396,Setup!C:D,2,FALSE),"")</f>
        <v>100000</v>
      </c>
      <c r="I396" s="6"/>
    </row>
    <row r="397" spans="1:9" ht="12.75" customHeight="1" x14ac:dyDescent="0.25">
      <c r="A397" s="6"/>
      <c r="B397" s="6">
        <v>395</v>
      </c>
      <c r="C397" s="12" t="str">
        <f t="shared" si="7"/>
        <v>SUM-395</v>
      </c>
      <c r="D397" s="46" t="s">
        <v>407</v>
      </c>
      <c r="E397" s="12" t="s">
        <v>192</v>
      </c>
      <c r="F397" s="12">
        <v>10</v>
      </c>
      <c r="G397" s="12" t="str">
        <f>IFERROR(VLOOKUP(F397,Setup!B:C,2,FALSE),"")</f>
        <v>10mbps</v>
      </c>
      <c r="H397" s="13">
        <f>IFERROR(VLOOKUP(G397,Setup!C:D,2,FALSE),"")</f>
        <v>100000</v>
      </c>
      <c r="I397" s="6"/>
    </row>
    <row r="398" spans="1:9" ht="12.75" customHeight="1" x14ac:dyDescent="0.25">
      <c r="A398" s="6"/>
      <c r="B398" s="6">
        <v>396</v>
      </c>
      <c r="C398" s="12" t="str">
        <f t="shared" si="7"/>
        <v>SUM-396</v>
      </c>
      <c r="D398" s="46" t="s">
        <v>408</v>
      </c>
      <c r="E398" s="12" t="s">
        <v>192</v>
      </c>
      <c r="F398" s="12">
        <v>10</v>
      </c>
      <c r="G398" s="12" t="str">
        <f>IFERROR(VLOOKUP(F398,Setup!B:C,2,FALSE),"")</f>
        <v>10mbps</v>
      </c>
      <c r="H398" s="13">
        <f>IFERROR(VLOOKUP(G398,Setup!C:D,2,FALSE),"")</f>
        <v>100000</v>
      </c>
      <c r="I398" s="6"/>
    </row>
    <row r="399" spans="1:9" ht="12.75" customHeight="1" x14ac:dyDescent="0.25">
      <c r="A399" s="6"/>
      <c r="B399" s="6">
        <v>397</v>
      </c>
      <c r="C399" s="12" t="str">
        <f t="shared" si="7"/>
        <v>SUM-397</v>
      </c>
      <c r="D399" s="46" t="s">
        <v>409</v>
      </c>
      <c r="E399" s="12" t="s">
        <v>192</v>
      </c>
      <c r="F399" s="12">
        <v>10</v>
      </c>
      <c r="G399" s="12" t="str">
        <f>IFERROR(VLOOKUP(F399,Setup!B:C,2,FALSE),"")</f>
        <v>10mbps</v>
      </c>
      <c r="H399" s="13">
        <f>IFERROR(VLOOKUP(G399,Setup!C:D,2,FALSE),"")</f>
        <v>100000</v>
      </c>
      <c r="I399" s="6"/>
    </row>
    <row r="400" spans="1:9" ht="12.75" customHeight="1" x14ac:dyDescent="0.25">
      <c r="A400" s="6"/>
      <c r="B400" s="6">
        <v>398</v>
      </c>
      <c r="C400" s="12" t="str">
        <f t="shared" si="7"/>
        <v>SUM-398</v>
      </c>
      <c r="D400" s="46" t="s">
        <v>410</v>
      </c>
      <c r="E400" s="12" t="s">
        <v>192</v>
      </c>
      <c r="F400" s="12">
        <v>10</v>
      </c>
      <c r="G400" s="12" t="str">
        <f>IFERROR(VLOOKUP(F400,Setup!B:C,2,FALSE),"")</f>
        <v>10mbps</v>
      </c>
      <c r="H400" s="13">
        <f>IFERROR(VLOOKUP(G400,Setup!C:D,2,FALSE),"")</f>
        <v>100000</v>
      </c>
      <c r="I400" s="6"/>
    </row>
    <row r="401" spans="1:9" ht="12.75" customHeight="1" x14ac:dyDescent="0.25">
      <c r="A401" s="6"/>
      <c r="B401" s="6">
        <v>399</v>
      </c>
      <c r="C401" s="12" t="str">
        <f t="shared" si="7"/>
        <v>SUM-399</v>
      </c>
      <c r="D401" s="46" t="s">
        <v>411</v>
      </c>
      <c r="E401" s="12" t="s">
        <v>192</v>
      </c>
      <c r="F401" s="12">
        <v>10</v>
      </c>
      <c r="G401" s="12" t="str">
        <f>IFERROR(VLOOKUP(F401,Setup!B:C,2,FALSE),"")</f>
        <v>10mbps</v>
      </c>
      <c r="H401" s="13">
        <f>IFERROR(VLOOKUP(G401,Setup!C:D,2,FALSE),"")</f>
        <v>100000</v>
      </c>
      <c r="I401" s="6"/>
    </row>
    <row r="402" spans="1:9" ht="12.75" customHeight="1" x14ac:dyDescent="0.25">
      <c r="A402" s="6"/>
      <c r="B402" s="6">
        <v>400</v>
      </c>
      <c r="C402" s="12" t="str">
        <f t="shared" si="7"/>
        <v>SUM-400</v>
      </c>
      <c r="D402" s="46" t="s">
        <v>412</v>
      </c>
      <c r="E402" s="12" t="s">
        <v>192</v>
      </c>
      <c r="F402" s="12">
        <v>10</v>
      </c>
      <c r="G402" s="12" t="str">
        <f>IFERROR(VLOOKUP(F402,Setup!B:C,2,FALSE),"")</f>
        <v>10mbps</v>
      </c>
      <c r="H402" s="13">
        <f>IFERROR(VLOOKUP(G402,Setup!C:D,2,FALSE),"")</f>
        <v>100000</v>
      </c>
      <c r="I402" s="6"/>
    </row>
    <row r="403" spans="1:9" ht="12.75" customHeight="1" x14ac:dyDescent="0.25">
      <c r="A403" s="6"/>
      <c r="B403" s="6">
        <v>401</v>
      </c>
      <c r="C403" s="12" t="str">
        <f t="shared" si="7"/>
        <v>SUM-401</v>
      </c>
      <c r="D403" s="46" t="s">
        <v>413</v>
      </c>
      <c r="E403" s="12" t="s">
        <v>192</v>
      </c>
      <c r="F403" s="12">
        <v>10</v>
      </c>
      <c r="G403" s="12" t="str">
        <f>IFERROR(VLOOKUP(F403,Setup!B:C,2,FALSE),"")</f>
        <v>10mbps</v>
      </c>
      <c r="H403" s="13">
        <f>IFERROR(VLOOKUP(G403,Setup!C:D,2,FALSE),"")</f>
        <v>100000</v>
      </c>
      <c r="I403" s="6"/>
    </row>
    <row r="404" spans="1:9" ht="12.75" customHeight="1" x14ac:dyDescent="0.25">
      <c r="A404" s="6"/>
      <c r="B404" s="6">
        <v>402</v>
      </c>
      <c r="C404" s="12" t="str">
        <f t="shared" si="7"/>
        <v>SUM-402</v>
      </c>
      <c r="D404" s="46" t="s">
        <v>414</v>
      </c>
      <c r="E404" s="12" t="s">
        <v>192</v>
      </c>
      <c r="F404" s="12">
        <v>10</v>
      </c>
      <c r="G404" s="12" t="str">
        <f>IFERROR(VLOOKUP(F404,Setup!B:C,2,FALSE),"")</f>
        <v>10mbps</v>
      </c>
      <c r="H404" s="13">
        <f>IFERROR(VLOOKUP(G404,Setup!C:D,2,FALSE),"")</f>
        <v>100000</v>
      </c>
      <c r="I404" s="6"/>
    </row>
    <row r="405" spans="1:9" ht="12.75" customHeight="1" x14ac:dyDescent="0.25">
      <c r="A405" s="6"/>
      <c r="B405" s="6">
        <v>403</v>
      </c>
      <c r="C405" s="12" t="str">
        <f t="shared" si="7"/>
        <v>SUM-403</v>
      </c>
      <c r="D405" s="46" t="s">
        <v>415</v>
      </c>
      <c r="E405" s="12" t="s">
        <v>192</v>
      </c>
      <c r="F405" s="12">
        <v>10</v>
      </c>
      <c r="G405" s="12" t="str">
        <f>IFERROR(VLOOKUP(F405,Setup!B:C,2,FALSE),"")</f>
        <v>10mbps</v>
      </c>
      <c r="H405" s="13">
        <f>IFERROR(VLOOKUP(G405,Setup!C:D,2,FALSE),"")</f>
        <v>100000</v>
      </c>
      <c r="I405" s="6"/>
    </row>
    <row r="406" spans="1:9" ht="12.75" customHeight="1" x14ac:dyDescent="0.25">
      <c r="A406" s="6"/>
      <c r="B406" s="6">
        <v>404</v>
      </c>
      <c r="C406" s="12" t="str">
        <f t="shared" si="7"/>
        <v>SUM-404</v>
      </c>
      <c r="D406" s="46" t="s">
        <v>416</v>
      </c>
      <c r="E406" s="12" t="s">
        <v>192</v>
      </c>
      <c r="F406" s="12">
        <v>10</v>
      </c>
      <c r="G406" s="12" t="str">
        <f>IFERROR(VLOOKUP(F406,Setup!B:C,2,FALSE),"")</f>
        <v>10mbps</v>
      </c>
      <c r="H406" s="13">
        <f>IFERROR(VLOOKUP(G406,Setup!C:D,2,FALSE),"")</f>
        <v>100000</v>
      </c>
      <c r="I406" s="6"/>
    </row>
    <row r="407" spans="1:9" ht="12.75" customHeight="1" x14ac:dyDescent="0.25">
      <c r="A407" s="6"/>
      <c r="B407" s="6">
        <v>405</v>
      </c>
      <c r="C407" s="12" t="str">
        <f t="shared" si="7"/>
        <v>SUM-405</v>
      </c>
      <c r="D407" s="46" t="s">
        <v>157</v>
      </c>
      <c r="E407" s="12" t="s">
        <v>192</v>
      </c>
      <c r="F407" s="12">
        <v>10</v>
      </c>
      <c r="G407" s="12" t="str">
        <f>IFERROR(VLOOKUP(F407,Setup!B:C,2,FALSE),"")</f>
        <v>10mbps</v>
      </c>
      <c r="H407" s="13">
        <f>IFERROR(VLOOKUP(G407,Setup!C:D,2,FALSE),"")</f>
        <v>100000</v>
      </c>
      <c r="I407" s="6"/>
    </row>
    <row r="408" spans="1:9" ht="12.75" customHeight="1" x14ac:dyDescent="0.25">
      <c r="A408" s="6"/>
      <c r="B408" s="6">
        <v>406</v>
      </c>
      <c r="C408" s="12" t="str">
        <f t="shared" si="7"/>
        <v>SUM-406</v>
      </c>
      <c r="D408" s="46" t="s">
        <v>417</v>
      </c>
      <c r="E408" s="12" t="s">
        <v>192</v>
      </c>
      <c r="F408" s="12">
        <v>10</v>
      </c>
      <c r="G408" s="12" t="str">
        <f>IFERROR(VLOOKUP(F408,Setup!B:C,2,FALSE),"")</f>
        <v>10mbps</v>
      </c>
      <c r="H408" s="13">
        <f>IFERROR(VLOOKUP(G408,Setup!C:D,2,FALSE),"")</f>
        <v>100000</v>
      </c>
      <c r="I408" s="6"/>
    </row>
    <row r="409" spans="1:9" ht="12.75" customHeight="1" x14ac:dyDescent="0.25">
      <c r="A409" s="6"/>
      <c r="B409" s="6">
        <v>407</v>
      </c>
      <c r="C409" s="12" t="str">
        <f t="shared" si="7"/>
        <v>SUM-407</v>
      </c>
      <c r="D409" s="46" t="s">
        <v>418</v>
      </c>
      <c r="E409" s="12" t="s">
        <v>192</v>
      </c>
      <c r="F409" s="12">
        <v>10</v>
      </c>
      <c r="G409" s="12" t="str">
        <f>IFERROR(VLOOKUP(F409,Setup!B:C,2,FALSE),"")</f>
        <v>10mbps</v>
      </c>
      <c r="H409" s="13">
        <f>IFERROR(VLOOKUP(G409,Setup!C:D,2,FALSE),"")</f>
        <v>100000</v>
      </c>
      <c r="I409" s="6"/>
    </row>
    <row r="410" spans="1:9" ht="12.75" customHeight="1" x14ac:dyDescent="0.25">
      <c r="A410" s="6"/>
      <c r="B410" s="6">
        <v>408</v>
      </c>
      <c r="C410" s="12" t="str">
        <f t="shared" si="7"/>
        <v>SUM-408</v>
      </c>
      <c r="D410" s="46" t="s">
        <v>419</v>
      </c>
      <c r="E410" s="12" t="s">
        <v>192</v>
      </c>
      <c r="F410" s="12">
        <v>10</v>
      </c>
      <c r="G410" s="12" t="str">
        <f>IFERROR(VLOOKUP(F410,Setup!B:C,2,FALSE),"")</f>
        <v>10mbps</v>
      </c>
      <c r="H410" s="13">
        <f>IFERROR(VLOOKUP(G410,Setup!C:D,2,FALSE),"")</f>
        <v>100000</v>
      </c>
      <c r="I410" s="6"/>
    </row>
    <row r="411" spans="1:9" ht="12.75" customHeight="1" x14ac:dyDescent="0.25">
      <c r="A411" s="6"/>
      <c r="B411" s="6">
        <v>409</v>
      </c>
      <c r="C411" s="12" t="str">
        <f t="shared" si="7"/>
        <v>SUM-409</v>
      </c>
      <c r="D411" s="46" t="s">
        <v>420</v>
      </c>
      <c r="E411" s="12" t="s">
        <v>192</v>
      </c>
      <c r="F411" s="12">
        <v>10</v>
      </c>
      <c r="G411" s="12" t="str">
        <f>IFERROR(VLOOKUP(F411,Setup!B:C,2,FALSE),"")</f>
        <v>10mbps</v>
      </c>
      <c r="H411" s="13">
        <f>IFERROR(VLOOKUP(G411,Setup!C:D,2,FALSE),"")</f>
        <v>100000</v>
      </c>
      <c r="I411" s="6"/>
    </row>
    <row r="412" spans="1:9" ht="12.75" customHeight="1" x14ac:dyDescent="0.25">
      <c r="A412" s="6"/>
      <c r="B412" s="6">
        <v>410</v>
      </c>
      <c r="C412" s="12" t="str">
        <f t="shared" si="7"/>
        <v>SUM-410</v>
      </c>
      <c r="D412" s="46" t="s">
        <v>421</v>
      </c>
      <c r="E412" s="12" t="s">
        <v>192</v>
      </c>
      <c r="F412" s="12">
        <v>10</v>
      </c>
      <c r="G412" s="12" t="str">
        <f>IFERROR(VLOOKUP(F412,Setup!B:C,2,FALSE),"")</f>
        <v>10mbps</v>
      </c>
      <c r="H412" s="13">
        <f>IFERROR(VLOOKUP(G412,Setup!C:D,2,FALSE),"")</f>
        <v>100000</v>
      </c>
      <c r="I412" s="6"/>
    </row>
    <row r="413" spans="1:9" ht="12.75" customHeight="1" x14ac:dyDescent="0.25">
      <c r="A413" s="6"/>
      <c r="B413" s="6">
        <v>411</v>
      </c>
      <c r="C413" s="12" t="str">
        <f t="shared" si="7"/>
        <v>SUM-411</v>
      </c>
      <c r="D413" s="46" t="s">
        <v>422</v>
      </c>
      <c r="E413" s="12" t="s">
        <v>192</v>
      </c>
      <c r="F413" s="12">
        <v>10</v>
      </c>
      <c r="G413" s="12" t="str">
        <f>IFERROR(VLOOKUP(F413,Setup!B:C,2,FALSE),"")</f>
        <v>10mbps</v>
      </c>
      <c r="H413" s="13">
        <f>IFERROR(VLOOKUP(G413,Setup!C:D,2,FALSE),"")</f>
        <v>100000</v>
      </c>
      <c r="I413" s="6"/>
    </row>
    <row r="414" spans="1:9" ht="12.75" customHeight="1" x14ac:dyDescent="0.25">
      <c r="A414" s="6"/>
      <c r="B414" s="6">
        <v>412</v>
      </c>
      <c r="C414" s="12" t="str">
        <f t="shared" si="7"/>
        <v>SER-412</v>
      </c>
      <c r="D414" s="46" t="s">
        <v>423</v>
      </c>
      <c r="E414" s="12" t="s">
        <v>424</v>
      </c>
      <c r="F414" s="12">
        <v>10</v>
      </c>
      <c r="G414" s="12" t="str">
        <f>IFERROR(VLOOKUP(F414,Setup!B:C,2,FALSE),"")</f>
        <v>10mbps</v>
      </c>
      <c r="H414" s="13">
        <f>IFERROR(VLOOKUP(G414,Setup!C:D,2,FALSE),"")</f>
        <v>100000</v>
      </c>
      <c r="I414" s="6"/>
    </row>
    <row r="415" spans="1:9" ht="12.75" customHeight="1" x14ac:dyDescent="0.25">
      <c r="A415" s="6"/>
      <c r="B415" s="6">
        <v>413</v>
      </c>
      <c r="C415" s="12" t="str">
        <f t="shared" si="7"/>
        <v>SER-413</v>
      </c>
      <c r="D415" s="46" t="s">
        <v>425</v>
      </c>
      <c r="E415" s="12" t="s">
        <v>424</v>
      </c>
      <c r="F415" s="12">
        <v>10</v>
      </c>
      <c r="G415" s="12" t="str">
        <f>IFERROR(VLOOKUP(F415,Setup!B:C,2,FALSE),"")</f>
        <v>10mbps</v>
      </c>
      <c r="H415" s="13">
        <f>IFERROR(VLOOKUP(G415,Setup!C:D,2,FALSE),"")</f>
        <v>100000</v>
      </c>
      <c r="I415" s="6"/>
    </row>
    <row r="416" spans="1:9" ht="12.75" customHeight="1" x14ac:dyDescent="0.25">
      <c r="A416" s="6"/>
      <c r="B416" s="6">
        <v>414</v>
      </c>
      <c r="C416" s="12" t="str">
        <f t="shared" si="7"/>
        <v>SER-414</v>
      </c>
      <c r="D416" s="46" t="s">
        <v>426</v>
      </c>
      <c r="E416" s="12" t="s">
        <v>424</v>
      </c>
      <c r="F416" s="12">
        <v>10</v>
      </c>
      <c r="G416" s="12" t="str">
        <f>IFERROR(VLOOKUP(F416,Setup!B:C,2,FALSE),"")</f>
        <v>10mbps</v>
      </c>
      <c r="H416" s="13">
        <f>IFERROR(VLOOKUP(G416,Setup!C:D,2,FALSE),"")</f>
        <v>100000</v>
      </c>
      <c r="I416" s="6"/>
    </row>
    <row r="417" spans="1:9" ht="12.75" customHeight="1" x14ac:dyDescent="0.25">
      <c r="A417" s="6"/>
      <c r="B417" s="6">
        <v>415</v>
      </c>
      <c r="C417" s="12" t="str">
        <f t="shared" si="7"/>
        <v>SER-415</v>
      </c>
      <c r="D417" s="46" t="s">
        <v>427</v>
      </c>
      <c r="E417" s="12" t="s">
        <v>424</v>
      </c>
      <c r="F417" s="12">
        <v>10</v>
      </c>
      <c r="G417" s="12" t="str">
        <f>IFERROR(VLOOKUP(F417,Setup!B:C,2,FALSE),"")</f>
        <v>10mbps</v>
      </c>
      <c r="H417" s="13">
        <f>IFERROR(VLOOKUP(G417,Setup!C:D,2,FALSE),"")</f>
        <v>100000</v>
      </c>
      <c r="I417" s="6"/>
    </row>
    <row r="418" spans="1:9" ht="12.75" customHeight="1" x14ac:dyDescent="0.25">
      <c r="A418" s="6"/>
      <c r="B418" s="6">
        <v>416</v>
      </c>
      <c r="C418" s="12" t="str">
        <f t="shared" si="7"/>
        <v>SER-416</v>
      </c>
      <c r="D418" s="46" t="s">
        <v>428</v>
      </c>
      <c r="E418" s="12" t="s">
        <v>424</v>
      </c>
      <c r="F418" s="12">
        <v>10</v>
      </c>
      <c r="G418" s="12" t="str">
        <f>IFERROR(VLOOKUP(F418,Setup!B:C,2,FALSE),"")</f>
        <v>10mbps</v>
      </c>
      <c r="H418" s="13">
        <f>IFERROR(VLOOKUP(G418,Setup!C:D,2,FALSE),"")</f>
        <v>100000</v>
      </c>
      <c r="I418" s="6"/>
    </row>
    <row r="419" spans="1:9" ht="12.75" customHeight="1" x14ac:dyDescent="0.25">
      <c r="A419" s="6"/>
      <c r="B419" s="6">
        <v>417</v>
      </c>
      <c r="C419" s="12" t="str">
        <f t="shared" si="7"/>
        <v>SER-417</v>
      </c>
      <c r="D419" s="46" t="s">
        <v>429</v>
      </c>
      <c r="E419" s="12" t="s">
        <v>424</v>
      </c>
      <c r="F419" s="12">
        <v>10</v>
      </c>
      <c r="G419" s="12" t="str">
        <f>IFERROR(VLOOKUP(F419,Setup!B:C,2,FALSE),"")</f>
        <v>10mbps</v>
      </c>
      <c r="H419" s="13">
        <f>IFERROR(VLOOKUP(G419,Setup!C:D,2,FALSE),"")</f>
        <v>100000</v>
      </c>
      <c r="I419" s="6"/>
    </row>
    <row r="420" spans="1:9" ht="12.75" customHeight="1" x14ac:dyDescent="0.25">
      <c r="A420" s="6"/>
      <c r="B420" s="6">
        <v>418</v>
      </c>
      <c r="C420" s="12" t="str">
        <f t="shared" si="7"/>
        <v>SUM-418</v>
      </c>
      <c r="D420" s="46" t="s">
        <v>430</v>
      </c>
      <c r="E420" s="12" t="s">
        <v>192</v>
      </c>
      <c r="F420" s="12">
        <v>10</v>
      </c>
      <c r="G420" s="12" t="str">
        <f>IFERROR(VLOOKUP(F420,Setup!B:C,2,FALSE),"")</f>
        <v>10mbps</v>
      </c>
      <c r="H420" s="13">
        <f>IFERROR(VLOOKUP(G420,Setup!C:D,2,FALSE),"")</f>
        <v>100000</v>
      </c>
      <c r="I420" s="6"/>
    </row>
    <row r="421" spans="1:9" ht="12.75" customHeight="1" x14ac:dyDescent="0.25">
      <c r="A421" s="6"/>
      <c r="B421" s="6">
        <v>419</v>
      </c>
      <c r="C421" s="12" t="str">
        <f t="shared" si="7"/>
        <v>SUM-419</v>
      </c>
      <c r="D421" s="46" t="s">
        <v>431</v>
      </c>
      <c r="E421" s="12" t="s">
        <v>192</v>
      </c>
      <c r="F421" s="12">
        <v>10</v>
      </c>
      <c r="G421" s="12" t="str">
        <f>IFERROR(VLOOKUP(F421,Setup!B:C,2,FALSE),"")</f>
        <v>10mbps</v>
      </c>
      <c r="H421" s="13">
        <f>IFERROR(VLOOKUP(G421,Setup!C:D,2,FALSE),"")</f>
        <v>100000</v>
      </c>
      <c r="I421" s="6"/>
    </row>
    <row r="422" spans="1:9" ht="12.75" customHeight="1" x14ac:dyDescent="0.25">
      <c r="A422" s="6"/>
      <c r="B422" s="6">
        <v>420</v>
      </c>
      <c r="C422" s="12" t="str">
        <f t="shared" si="7"/>
        <v>SUM-420</v>
      </c>
      <c r="D422" s="46" t="s">
        <v>432</v>
      </c>
      <c r="E422" s="12" t="s">
        <v>192</v>
      </c>
      <c r="F422" s="12">
        <v>10</v>
      </c>
      <c r="G422" s="12" t="str">
        <f>IFERROR(VLOOKUP(F422,Setup!B:C,2,FALSE),"")</f>
        <v>10mbps</v>
      </c>
      <c r="H422" s="13">
        <f>IFERROR(VLOOKUP(G422,Setup!C:D,2,FALSE),"")</f>
        <v>100000</v>
      </c>
      <c r="I422" s="6"/>
    </row>
    <row r="423" spans="1:9" ht="12.75" customHeight="1" x14ac:dyDescent="0.25">
      <c r="A423" s="6"/>
      <c r="B423" s="6">
        <v>421</v>
      </c>
      <c r="C423" s="12" t="str">
        <f t="shared" si="7"/>
        <v>SUM-421</v>
      </c>
      <c r="D423" s="46" t="s">
        <v>557</v>
      </c>
      <c r="E423" s="12" t="s">
        <v>192</v>
      </c>
      <c r="F423" s="12">
        <v>10</v>
      </c>
      <c r="G423" s="12" t="str">
        <f>IFERROR(VLOOKUP(F423,Setup!B:C,2,FALSE),"")</f>
        <v>10mbps</v>
      </c>
      <c r="H423" s="13">
        <f>IFERROR(VLOOKUP(G423,Setup!C:D,2,FALSE),"")</f>
        <v>100000</v>
      </c>
      <c r="I423" s="6"/>
    </row>
    <row r="424" spans="1:9" ht="12.75" customHeight="1" x14ac:dyDescent="0.25">
      <c r="A424" s="6"/>
      <c r="B424" s="6">
        <v>422</v>
      </c>
      <c r="C424" s="12" t="str">
        <f t="shared" si="7"/>
        <v>SUM-422</v>
      </c>
      <c r="D424" s="46" t="s">
        <v>433</v>
      </c>
      <c r="E424" s="12" t="s">
        <v>192</v>
      </c>
      <c r="F424" s="12">
        <v>10</v>
      </c>
      <c r="G424" s="12" t="str">
        <f>IFERROR(VLOOKUP(F424,Setup!B:C,2,FALSE),"")</f>
        <v>10mbps</v>
      </c>
      <c r="H424" s="13">
        <v>75000</v>
      </c>
      <c r="I424" s="6"/>
    </row>
    <row r="425" spans="1:9" ht="12.75" customHeight="1" x14ac:dyDescent="0.25">
      <c r="A425" s="6"/>
      <c r="B425" s="6">
        <v>423</v>
      </c>
      <c r="C425" s="12" t="str">
        <f t="shared" si="7"/>
        <v>SUM-423</v>
      </c>
      <c r="D425" s="46" t="s">
        <v>434</v>
      </c>
      <c r="E425" s="12" t="s">
        <v>192</v>
      </c>
      <c r="F425" s="12">
        <v>10</v>
      </c>
      <c r="G425" s="12" t="str">
        <f>IFERROR(VLOOKUP(F425,Setup!B:C,2,FALSE),"")</f>
        <v>10mbps</v>
      </c>
      <c r="H425" s="13">
        <v>75000</v>
      </c>
      <c r="I425" s="6"/>
    </row>
    <row r="426" spans="1:9" ht="12.75" customHeight="1" x14ac:dyDescent="0.25">
      <c r="A426" s="6"/>
      <c r="B426" s="6">
        <v>424</v>
      </c>
      <c r="C426" s="12" t="str">
        <f t="shared" si="7"/>
        <v>SUM-424</v>
      </c>
      <c r="D426" s="46" t="s">
        <v>435</v>
      </c>
      <c r="E426" s="12" t="s">
        <v>192</v>
      </c>
      <c r="F426" s="12">
        <v>20</v>
      </c>
      <c r="G426" s="12" t="str">
        <f>IFERROR(VLOOKUP(F426,Setup!B:C,2,FALSE),"")</f>
        <v>20mbps</v>
      </c>
      <c r="H426" s="13">
        <f>IFERROR(VLOOKUP(G426,Setup!C:D,2,FALSE),"")</f>
        <v>200000</v>
      </c>
      <c r="I426" s="6"/>
    </row>
    <row r="427" spans="1:9" ht="12.75" customHeight="1" x14ac:dyDescent="0.25">
      <c r="A427" s="6"/>
      <c r="B427" s="6">
        <v>425</v>
      </c>
      <c r="C427" s="12" t="str">
        <f t="shared" si="7"/>
        <v>SUM-425</v>
      </c>
      <c r="D427" s="46" t="s">
        <v>436</v>
      </c>
      <c r="E427" s="12" t="s">
        <v>192</v>
      </c>
      <c r="F427" s="12">
        <v>20</v>
      </c>
      <c r="G427" s="12" t="str">
        <f>IFERROR(VLOOKUP(F427,Setup!B:C,2,FALSE),"")</f>
        <v>20mbps</v>
      </c>
      <c r="H427" s="13">
        <f>IFERROR(VLOOKUP(G427,Setup!C:D,2,FALSE),"")</f>
        <v>200000</v>
      </c>
      <c r="I427" s="6"/>
    </row>
    <row r="428" spans="1:9" ht="12.75" customHeight="1" x14ac:dyDescent="0.25">
      <c r="A428" s="6"/>
      <c r="B428" s="6">
        <v>426</v>
      </c>
      <c r="C428" s="12" t="str">
        <f t="shared" si="7"/>
        <v>SUM-426</v>
      </c>
      <c r="D428" s="46" t="s">
        <v>437</v>
      </c>
      <c r="E428" s="12" t="s">
        <v>192</v>
      </c>
      <c r="F428" s="12">
        <v>10</v>
      </c>
      <c r="G428" s="12" t="str">
        <f>IFERROR(VLOOKUP(F428,Setup!B:C,2,FALSE),"")</f>
        <v>10mbps</v>
      </c>
      <c r="H428" s="13">
        <f>IFERROR(VLOOKUP(G428,Setup!C:D,2,FALSE),"")</f>
        <v>100000</v>
      </c>
      <c r="I428" s="6"/>
    </row>
    <row r="429" spans="1:9" ht="12.75" customHeight="1" x14ac:dyDescent="0.25">
      <c r="A429" s="6"/>
      <c r="B429" s="6">
        <v>427</v>
      </c>
      <c r="C429" s="12" t="str">
        <f t="shared" si="7"/>
        <v>SUM-427</v>
      </c>
      <c r="D429" s="46" t="s">
        <v>438</v>
      </c>
      <c r="E429" s="12" t="s">
        <v>192</v>
      </c>
      <c r="F429" s="12">
        <v>10</v>
      </c>
      <c r="G429" s="12" t="str">
        <f>IFERROR(VLOOKUP(F429,Setup!B:C,2,FALSE),"")</f>
        <v>10mbps</v>
      </c>
      <c r="H429" s="13" t="s">
        <v>552</v>
      </c>
      <c r="I429" s="6"/>
    </row>
    <row r="430" spans="1:9" ht="12.75" customHeight="1" x14ac:dyDescent="0.25">
      <c r="A430" s="6"/>
      <c r="B430" s="6">
        <v>428</v>
      </c>
      <c r="C430" s="12" t="str">
        <f t="shared" si="7"/>
        <v>SUM-428</v>
      </c>
      <c r="D430" s="50" t="s">
        <v>555</v>
      </c>
      <c r="E430" s="12" t="s">
        <v>192</v>
      </c>
      <c r="F430" s="12">
        <v>10</v>
      </c>
      <c r="G430" s="12" t="str">
        <f>IFERROR(VLOOKUP(F430,Setup!B:C,2,FALSE),"")</f>
        <v>10mbps</v>
      </c>
      <c r="H430" s="13">
        <f>IFERROR(VLOOKUP(G430,Setup!C:D,2,FALSE),"")</f>
        <v>100000</v>
      </c>
      <c r="I430" s="6"/>
    </row>
    <row r="431" spans="1:9" ht="12.75" customHeight="1" x14ac:dyDescent="0.25">
      <c r="A431" s="6"/>
      <c r="B431" s="6">
        <v>429</v>
      </c>
      <c r="C431" s="12" t="str">
        <f t="shared" si="7"/>
        <v>SUM-429</v>
      </c>
      <c r="D431" s="46" t="s">
        <v>556</v>
      </c>
      <c r="E431" s="12" t="s">
        <v>192</v>
      </c>
      <c r="F431" s="12">
        <v>20</v>
      </c>
      <c r="G431" s="12" t="str">
        <f>IFERROR(VLOOKUP(F431,Setup!B:C,2,FALSE),"")</f>
        <v>20mbps</v>
      </c>
      <c r="H431" s="13">
        <f>IFERROR(VLOOKUP(G431,Setup!C:D,2,FALSE),"")</f>
        <v>200000</v>
      </c>
      <c r="I431" s="6"/>
    </row>
    <row r="432" spans="1:9" ht="12.75" customHeight="1" x14ac:dyDescent="0.25">
      <c r="A432" s="6"/>
      <c r="B432" s="6">
        <v>430</v>
      </c>
      <c r="C432" s="12" t="str">
        <f t="shared" si="7"/>
        <v>TAM-430</v>
      </c>
      <c r="D432" s="46" t="s">
        <v>439</v>
      </c>
      <c r="E432" s="12" t="s">
        <v>440</v>
      </c>
      <c r="F432" s="12">
        <v>10</v>
      </c>
      <c r="G432" s="12" t="str">
        <f>IFERROR(VLOOKUP(F432,Setup!B:C,2,FALSE),"")</f>
        <v>10mbps</v>
      </c>
      <c r="H432" s="13">
        <f>IFERROR(VLOOKUP(G432,Setup!C:D,2,FALSE),"")</f>
        <v>100000</v>
      </c>
      <c r="I432" s="6"/>
    </row>
    <row r="433" spans="1:9" ht="12.75" customHeight="1" x14ac:dyDescent="0.25">
      <c r="A433" s="6"/>
      <c r="B433" s="6">
        <v>431</v>
      </c>
      <c r="C433" s="12" t="str">
        <f t="shared" si="7"/>
        <v>TAM-431</v>
      </c>
      <c r="D433" s="46" t="s">
        <v>441</v>
      </c>
      <c r="E433" s="12" t="s">
        <v>440</v>
      </c>
      <c r="F433" s="12">
        <v>10</v>
      </c>
      <c r="G433" s="12" t="str">
        <f>IFERROR(VLOOKUP(F433,Setup!B:C,2,FALSE),"")</f>
        <v>10mbps</v>
      </c>
      <c r="H433" s="13">
        <f>IFERROR(VLOOKUP(G433,Setup!C:D,2,FALSE),"")</f>
        <v>100000</v>
      </c>
      <c r="I433" s="6"/>
    </row>
    <row r="434" spans="1:9" ht="12.75" customHeight="1" x14ac:dyDescent="0.25">
      <c r="A434" s="6"/>
      <c r="B434" s="6">
        <v>432</v>
      </c>
      <c r="C434" s="12" t="str">
        <f t="shared" si="7"/>
        <v>TAM-432</v>
      </c>
      <c r="D434" s="46" t="s">
        <v>442</v>
      </c>
      <c r="E434" s="12" t="s">
        <v>440</v>
      </c>
      <c r="F434" s="12">
        <v>10</v>
      </c>
      <c r="G434" s="12" t="str">
        <f>IFERROR(VLOOKUP(F434,Setup!B:C,2,FALSE),"")</f>
        <v>10mbps</v>
      </c>
      <c r="H434" s="13">
        <f>IFERROR(VLOOKUP(G434,Setup!C:D,2,FALSE),"")</f>
        <v>100000</v>
      </c>
      <c r="I434" s="6"/>
    </row>
    <row r="435" spans="1:9" ht="12.75" customHeight="1" x14ac:dyDescent="0.25">
      <c r="A435" s="6"/>
      <c r="B435" s="6">
        <v>433</v>
      </c>
      <c r="C435" s="12" t="str">
        <f t="shared" si="7"/>
        <v>TAM-433</v>
      </c>
      <c r="D435" s="46" t="s">
        <v>443</v>
      </c>
      <c r="E435" s="12" t="s">
        <v>440</v>
      </c>
      <c r="F435" s="12">
        <v>10</v>
      </c>
      <c r="G435" s="12" t="str">
        <f>IFERROR(VLOOKUP(F435,Setup!B:C,2,FALSE),"")</f>
        <v>10mbps</v>
      </c>
      <c r="H435" s="13">
        <f>IFERROR(VLOOKUP(G435,Setup!C:D,2,FALSE),"")</f>
        <v>100000</v>
      </c>
      <c r="I435" s="6"/>
    </row>
    <row r="436" spans="1:9" ht="12.75" customHeight="1" x14ac:dyDescent="0.25">
      <c r="A436" s="6"/>
      <c r="B436" s="6">
        <v>434</v>
      </c>
      <c r="C436" s="12" t="str">
        <f t="shared" si="7"/>
        <v>TAM-434</v>
      </c>
      <c r="D436" s="46" t="s">
        <v>444</v>
      </c>
      <c r="E436" s="12" t="s">
        <v>440</v>
      </c>
      <c r="F436" s="12">
        <v>10</v>
      </c>
      <c r="G436" s="12" t="str">
        <f>IFERROR(VLOOKUP(F436,Setup!B:C,2,FALSE),"")</f>
        <v>10mbps</v>
      </c>
      <c r="H436" s="13">
        <f>IFERROR(VLOOKUP(G436,Setup!C:D,2,FALSE),"")</f>
        <v>100000</v>
      </c>
      <c r="I436" s="6"/>
    </row>
    <row r="437" spans="1:9" ht="12.75" customHeight="1" x14ac:dyDescent="0.25">
      <c r="A437" s="6"/>
      <c r="B437" s="6">
        <v>435</v>
      </c>
      <c r="C437" s="12" t="str">
        <f t="shared" si="7"/>
        <v>TAM-435</v>
      </c>
      <c r="D437" s="46" t="s">
        <v>445</v>
      </c>
      <c r="E437" s="12" t="s">
        <v>440</v>
      </c>
      <c r="F437" s="12">
        <v>10</v>
      </c>
      <c r="G437" s="12" t="str">
        <f>IFERROR(VLOOKUP(F437,Setup!B:C,2,FALSE),"")</f>
        <v>10mbps</v>
      </c>
      <c r="H437" s="13">
        <f>IFERROR(VLOOKUP(G437,Setup!C:D,2,FALSE),"")</f>
        <v>100000</v>
      </c>
      <c r="I437" s="6"/>
    </row>
    <row r="438" spans="1:9" ht="12.75" customHeight="1" x14ac:dyDescent="0.25">
      <c r="A438" s="6"/>
      <c r="B438" s="6">
        <v>436</v>
      </c>
      <c r="C438" s="12" t="str">
        <f t="shared" si="7"/>
        <v>TAM-436</v>
      </c>
      <c r="D438" s="46" t="s">
        <v>446</v>
      </c>
      <c r="E438" s="12" t="s">
        <v>440</v>
      </c>
      <c r="F438" s="12">
        <v>10</v>
      </c>
      <c r="G438" s="12" t="str">
        <f>IFERROR(VLOOKUP(F438,Setup!B:C,2,FALSE),"")</f>
        <v>10mbps</v>
      </c>
      <c r="H438" s="13">
        <f>IFERROR(VLOOKUP(G438,Setup!C:D,2,FALSE),"")</f>
        <v>100000</v>
      </c>
      <c r="I438" s="6"/>
    </row>
    <row r="439" spans="1:9" ht="12.75" customHeight="1" x14ac:dyDescent="0.25">
      <c r="A439" s="6"/>
      <c r="B439" s="6">
        <v>437</v>
      </c>
      <c r="C439" s="12" t="str">
        <f t="shared" si="7"/>
        <v>TAM-437</v>
      </c>
      <c r="D439" s="46" t="s">
        <v>447</v>
      </c>
      <c r="E439" s="12" t="s">
        <v>440</v>
      </c>
      <c r="F439" s="12">
        <v>10</v>
      </c>
      <c r="G439" s="12" t="str">
        <f>IFERROR(VLOOKUP(F439,Setup!B:C,2,FALSE),"")</f>
        <v>10mbps</v>
      </c>
      <c r="H439" s="13">
        <f>IFERROR(VLOOKUP(G439,Setup!C:D,2,FALSE),"")</f>
        <v>100000</v>
      </c>
      <c r="I439" s="6"/>
    </row>
    <row r="440" spans="1:9" ht="12.75" customHeight="1" x14ac:dyDescent="0.25">
      <c r="A440" s="6"/>
      <c r="B440" s="6">
        <v>438</v>
      </c>
      <c r="C440" s="12" t="str">
        <f t="shared" si="7"/>
        <v>TAM-438</v>
      </c>
      <c r="D440" s="46" t="s">
        <v>448</v>
      </c>
      <c r="E440" s="12" t="s">
        <v>440</v>
      </c>
      <c r="F440" s="12">
        <v>10</v>
      </c>
      <c r="G440" s="12" t="str">
        <f>IFERROR(VLOOKUP(F440,Setup!B:C,2,FALSE),"")</f>
        <v>10mbps</v>
      </c>
      <c r="H440" s="13">
        <f>IFERROR(VLOOKUP(G440,Setup!C:D,2,FALSE),"")</f>
        <v>100000</v>
      </c>
      <c r="I440" s="6"/>
    </row>
    <row r="441" spans="1:9" ht="12.75" customHeight="1" x14ac:dyDescent="0.25">
      <c r="A441" s="6"/>
      <c r="B441" s="6">
        <v>439</v>
      </c>
      <c r="C441" s="12" t="str">
        <f t="shared" si="7"/>
        <v>TAM-439</v>
      </c>
      <c r="D441" s="46" t="s">
        <v>449</v>
      </c>
      <c r="E441" s="12" t="s">
        <v>440</v>
      </c>
      <c r="F441" s="12">
        <v>10</v>
      </c>
      <c r="G441" s="12" t="str">
        <f>IFERROR(VLOOKUP(F441,Setup!B:C,2,FALSE),"")</f>
        <v>10mbps</v>
      </c>
      <c r="H441" s="13">
        <f>IFERROR(VLOOKUP(G441,Setup!C:D,2,FALSE),"")</f>
        <v>100000</v>
      </c>
      <c r="I441" s="6"/>
    </row>
    <row r="442" spans="1:9" ht="12.75" customHeight="1" x14ac:dyDescent="0.25">
      <c r="A442" s="6"/>
      <c r="B442" s="6">
        <v>440</v>
      </c>
      <c r="C442" s="12" t="str">
        <f t="shared" si="7"/>
        <v>TAM-440</v>
      </c>
      <c r="D442" s="46" t="s">
        <v>450</v>
      </c>
      <c r="E442" s="12" t="s">
        <v>440</v>
      </c>
      <c r="F442" s="12">
        <v>10</v>
      </c>
      <c r="G442" s="12" t="str">
        <f>IFERROR(VLOOKUP(F442,Setup!B:C,2,FALSE),"")</f>
        <v>10mbps</v>
      </c>
      <c r="H442" s="13">
        <f>IFERROR(VLOOKUP(G442,Setup!C:D,2,FALSE),"")</f>
        <v>100000</v>
      </c>
      <c r="I442" s="6"/>
    </row>
    <row r="443" spans="1:9" ht="12.75" customHeight="1" x14ac:dyDescent="0.25">
      <c r="A443" s="6"/>
      <c r="B443" s="6">
        <v>441</v>
      </c>
      <c r="C443" s="12" t="str">
        <f t="shared" si="7"/>
        <v>TAM-441</v>
      </c>
      <c r="D443" s="46" t="s">
        <v>451</v>
      </c>
      <c r="E443" s="12" t="s">
        <v>440</v>
      </c>
      <c r="F443" s="12">
        <v>10</v>
      </c>
      <c r="G443" s="12" t="str">
        <f>IFERROR(VLOOKUP(F443,Setup!B:C,2,FALSE),"")</f>
        <v>10mbps</v>
      </c>
      <c r="H443" s="13">
        <f>IFERROR(VLOOKUP(G443,Setup!C:D,2,FALSE),"")</f>
        <v>100000</v>
      </c>
      <c r="I443" s="6"/>
    </row>
    <row r="444" spans="1:9" ht="12.75" customHeight="1" x14ac:dyDescent="0.25">
      <c r="A444" s="6"/>
      <c r="B444" s="6">
        <v>442</v>
      </c>
      <c r="C444" s="12" t="str">
        <f t="shared" si="7"/>
        <v>TAM-442</v>
      </c>
      <c r="D444" s="46" t="s">
        <v>452</v>
      </c>
      <c r="E444" s="12" t="s">
        <v>440</v>
      </c>
      <c r="F444" s="12">
        <v>10</v>
      </c>
      <c r="G444" s="12" t="str">
        <f>IFERROR(VLOOKUP(F444,Setup!B:C,2,FALSE),"")</f>
        <v>10mbps</v>
      </c>
      <c r="H444" s="13">
        <f>IFERROR(VLOOKUP(G444,Setup!C:D,2,FALSE),"")</f>
        <v>100000</v>
      </c>
      <c r="I444" s="6"/>
    </row>
    <row r="445" spans="1:9" ht="12.75" customHeight="1" x14ac:dyDescent="0.25">
      <c r="A445" s="6"/>
      <c r="B445" s="6">
        <v>443</v>
      </c>
      <c r="C445" s="12" t="str">
        <f t="shared" si="7"/>
        <v>TAM-443</v>
      </c>
      <c r="D445" s="46" t="s">
        <v>453</v>
      </c>
      <c r="E445" s="12" t="s">
        <v>440</v>
      </c>
      <c r="F445" s="12">
        <v>10</v>
      </c>
      <c r="G445" s="12" t="str">
        <f>IFERROR(VLOOKUP(F445,Setup!B:C,2,FALSE),"")</f>
        <v>10mbps</v>
      </c>
      <c r="H445" s="13">
        <f>IFERROR(VLOOKUP(G445,Setup!C:D,2,FALSE),"")</f>
        <v>100000</v>
      </c>
      <c r="I445" s="6"/>
    </row>
    <row r="446" spans="1:9" ht="12.75" customHeight="1" x14ac:dyDescent="0.25">
      <c r="A446" s="6"/>
      <c r="B446" s="6">
        <v>444</v>
      </c>
      <c r="C446" s="12" t="str">
        <f t="shared" si="7"/>
        <v>TAM-444</v>
      </c>
      <c r="D446" s="46" t="s">
        <v>454</v>
      </c>
      <c r="E446" s="12" t="s">
        <v>440</v>
      </c>
      <c r="F446" s="12">
        <v>10</v>
      </c>
      <c r="G446" s="12" t="str">
        <f>IFERROR(VLOOKUP(F446,Setup!B:C,2,FALSE),"")</f>
        <v>10mbps</v>
      </c>
      <c r="H446" s="13">
        <f>IFERROR(VLOOKUP(G446,Setup!C:D,2,FALSE),"")</f>
        <v>100000</v>
      </c>
      <c r="I446" s="6"/>
    </row>
    <row r="447" spans="1:9" ht="12.75" customHeight="1" x14ac:dyDescent="0.25">
      <c r="A447" s="6"/>
      <c r="B447" s="6">
        <v>445</v>
      </c>
      <c r="C447" s="12" t="str">
        <f t="shared" si="7"/>
        <v>TAM-445</v>
      </c>
      <c r="D447" s="46" t="s">
        <v>455</v>
      </c>
      <c r="E447" s="12" t="s">
        <v>440</v>
      </c>
      <c r="F447" s="12">
        <v>10</v>
      </c>
      <c r="G447" s="12" t="str">
        <f>IFERROR(VLOOKUP(F447,Setup!B:C,2,FALSE),"")</f>
        <v>10mbps</v>
      </c>
      <c r="H447" s="13">
        <f>IFERROR(VLOOKUP(G447,Setup!C:D,2,FALSE),"")</f>
        <v>100000</v>
      </c>
      <c r="I447" s="6"/>
    </row>
    <row r="448" spans="1:9" ht="12.75" customHeight="1" x14ac:dyDescent="0.25">
      <c r="A448" s="6"/>
      <c r="B448" s="6">
        <v>446</v>
      </c>
      <c r="C448" s="12" t="str">
        <f t="shared" si="7"/>
        <v>TAM-446</v>
      </c>
      <c r="D448" s="46" t="s">
        <v>456</v>
      </c>
      <c r="E448" s="12" t="s">
        <v>440</v>
      </c>
      <c r="F448" s="12">
        <v>10</v>
      </c>
      <c r="G448" s="12" t="str">
        <f>IFERROR(VLOOKUP(F448,Setup!B:C,2,FALSE),"")</f>
        <v>10mbps</v>
      </c>
      <c r="H448" s="13">
        <f>IFERROR(VLOOKUP(G448,Setup!C:D,2,FALSE),"")</f>
        <v>100000</v>
      </c>
      <c r="I448" s="6"/>
    </row>
    <row r="449" spans="1:9" ht="12.75" customHeight="1" x14ac:dyDescent="0.25">
      <c r="A449" s="6"/>
      <c r="B449" s="6">
        <v>447</v>
      </c>
      <c r="C449" s="12" t="str">
        <f t="shared" si="7"/>
        <v>TAM-447</v>
      </c>
      <c r="D449" s="46" t="s">
        <v>457</v>
      </c>
      <c r="E449" s="12" t="s">
        <v>440</v>
      </c>
      <c r="F449" s="12">
        <v>10</v>
      </c>
      <c r="G449" s="12" t="str">
        <f>IFERROR(VLOOKUP(F449,Setup!B:C,2,FALSE),"")</f>
        <v>10mbps</v>
      </c>
      <c r="H449" s="13">
        <f>IFERROR(VLOOKUP(G449,Setup!C:D,2,FALSE),"")</f>
        <v>100000</v>
      </c>
      <c r="I449" s="6"/>
    </row>
    <row r="450" spans="1:9" ht="12.75" customHeight="1" x14ac:dyDescent="0.25">
      <c r="A450" s="6"/>
      <c r="B450" s="6">
        <v>448</v>
      </c>
      <c r="C450" s="12" t="str">
        <f t="shared" si="7"/>
        <v>TAM-448</v>
      </c>
      <c r="D450" s="46" t="s">
        <v>458</v>
      </c>
      <c r="E450" s="12" t="s">
        <v>440</v>
      </c>
      <c r="F450" s="12">
        <v>10</v>
      </c>
      <c r="G450" s="12" t="str">
        <f>IFERROR(VLOOKUP(F450,Setup!B:C,2,FALSE),"")</f>
        <v>10mbps</v>
      </c>
      <c r="H450" s="13">
        <f>IFERROR(VLOOKUP(G450,Setup!C:D,2,FALSE),"")</f>
        <v>100000</v>
      </c>
      <c r="I450" s="6"/>
    </row>
    <row r="451" spans="1:9" ht="12.75" customHeight="1" x14ac:dyDescent="0.25">
      <c r="A451" s="6"/>
      <c r="B451" s="6">
        <v>449</v>
      </c>
      <c r="C451" s="12" t="str">
        <f t="shared" si="7"/>
        <v>TAM-449</v>
      </c>
      <c r="D451" s="46" t="s">
        <v>459</v>
      </c>
      <c r="E451" s="12" t="s">
        <v>440</v>
      </c>
      <c r="F451" s="12">
        <v>10</v>
      </c>
      <c r="G451" s="12" t="str">
        <f>IFERROR(VLOOKUP(F451,Setup!B:C,2,FALSE),"")</f>
        <v>10mbps</v>
      </c>
      <c r="H451" s="13">
        <f>IFERROR(VLOOKUP(G451,Setup!C:D,2,FALSE),"")</f>
        <v>100000</v>
      </c>
      <c r="I451" s="6"/>
    </row>
    <row r="452" spans="1:9" ht="12.75" customHeight="1" x14ac:dyDescent="0.25">
      <c r="A452" s="6"/>
      <c r="B452" s="6">
        <v>450</v>
      </c>
      <c r="C452" s="12" t="str">
        <f t="shared" si="7"/>
        <v>TAM-450</v>
      </c>
      <c r="D452" s="46" t="s">
        <v>460</v>
      </c>
      <c r="E452" s="12" t="s">
        <v>440</v>
      </c>
      <c r="F452" s="12">
        <v>10</v>
      </c>
      <c r="G452" s="12" t="str">
        <f>IFERROR(VLOOKUP(F452,Setup!B:C,2,FALSE),"")</f>
        <v>10mbps</v>
      </c>
      <c r="H452" s="13">
        <f>IFERROR(VLOOKUP(G452,Setup!C:D,2,FALSE),"")</f>
        <v>100000</v>
      </c>
      <c r="I452" s="6"/>
    </row>
    <row r="453" spans="1:9" ht="12.75" customHeight="1" x14ac:dyDescent="0.25">
      <c r="A453" s="6"/>
      <c r="B453" s="6">
        <v>451</v>
      </c>
      <c r="C453" s="12" t="str">
        <f t="shared" si="7"/>
        <v>TAM-451</v>
      </c>
      <c r="D453" s="46" t="s">
        <v>461</v>
      </c>
      <c r="E453" s="12" t="s">
        <v>440</v>
      </c>
      <c r="F453" s="12">
        <v>10</v>
      </c>
      <c r="G453" s="12" t="str">
        <f>IFERROR(VLOOKUP(F453,Setup!B:C,2,FALSE),"")</f>
        <v>10mbps</v>
      </c>
      <c r="H453" s="13">
        <f>IFERROR(VLOOKUP(G453,Setup!C:D,2,FALSE),"")</f>
        <v>100000</v>
      </c>
      <c r="I453" s="6"/>
    </row>
    <row r="454" spans="1:9" ht="12.75" customHeight="1" x14ac:dyDescent="0.25">
      <c r="A454" s="6"/>
      <c r="B454" s="6">
        <v>452</v>
      </c>
      <c r="C454" s="12" t="str">
        <f t="shared" si="7"/>
        <v>TAM-452</v>
      </c>
      <c r="D454" s="46" t="s">
        <v>462</v>
      </c>
      <c r="E454" s="12" t="s">
        <v>440</v>
      </c>
      <c r="F454" s="12">
        <v>10</v>
      </c>
      <c r="G454" s="12" t="str">
        <f>IFERROR(VLOOKUP(F454,Setup!B:C,2,FALSE),"")</f>
        <v>10mbps</v>
      </c>
      <c r="H454" s="13">
        <f>IFERROR(VLOOKUP(G454,Setup!C:D,2,FALSE),"")</f>
        <v>100000</v>
      </c>
      <c r="I454" s="6"/>
    </row>
    <row r="455" spans="1:9" ht="12.75" customHeight="1" x14ac:dyDescent="0.25">
      <c r="A455" s="6"/>
      <c r="B455" s="6">
        <v>453</v>
      </c>
      <c r="C455" s="12" t="str">
        <f t="shared" si="7"/>
        <v>TAM-453</v>
      </c>
      <c r="D455" s="46" t="s">
        <v>463</v>
      </c>
      <c r="E455" s="12" t="s">
        <v>440</v>
      </c>
      <c r="F455" s="12">
        <v>10</v>
      </c>
      <c r="G455" s="12" t="str">
        <f>IFERROR(VLOOKUP(F455,Setup!B:C,2,FALSE),"")</f>
        <v>10mbps</v>
      </c>
      <c r="H455" s="13">
        <f>IFERROR(VLOOKUP(G455,Setup!C:D,2,FALSE),"")</f>
        <v>100000</v>
      </c>
      <c r="I455" s="6"/>
    </row>
    <row r="456" spans="1:9" ht="12.75" customHeight="1" x14ac:dyDescent="0.25">
      <c r="A456" s="6"/>
      <c r="B456" s="6">
        <v>454</v>
      </c>
      <c r="C456" s="12" t="str">
        <f t="shared" si="7"/>
        <v>TAM-454</v>
      </c>
      <c r="D456" s="46" t="s">
        <v>464</v>
      </c>
      <c r="E456" s="12" t="s">
        <v>440</v>
      </c>
      <c r="F456" s="12">
        <v>10</v>
      </c>
      <c r="G456" s="12" t="str">
        <f>IFERROR(VLOOKUP(F456,Setup!B:C,2,FALSE),"")</f>
        <v>10mbps</v>
      </c>
      <c r="H456" s="13">
        <f>IFERROR(VLOOKUP(G456,Setup!C:D,2,FALSE),"")</f>
        <v>100000</v>
      </c>
      <c r="I456" s="6"/>
    </row>
    <row r="457" spans="1:9" ht="12.75" customHeight="1" x14ac:dyDescent="0.25">
      <c r="A457" s="6"/>
      <c r="B457" s="6">
        <v>455</v>
      </c>
      <c r="C457" s="12" t="str">
        <f t="shared" si="7"/>
        <v>PAL-455</v>
      </c>
      <c r="D457" s="46" t="s">
        <v>465</v>
      </c>
      <c r="E457" s="12" t="s">
        <v>466</v>
      </c>
      <c r="F457" s="12">
        <v>10</v>
      </c>
      <c r="G457" s="12" t="str">
        <f>IFERROR(VLOOKUP(F457,Setup!B:C,2,FALSE),"")</f>
        <v>10mbps</v>
      </c>
      <c r="H457" s="13">
        <f>IFERROR(VLOOKUP(G457,Setup!C:D,2,FALSE),"")</f>
        <v>100000</v>
      </c>
      <c r="I457" s="6"/>
    </row>
    <row r="458" spans="1:9" ht="12.75" customHeight="1" x14ac:dyDescent="0.25">
      <c r="A458" s="6"/>
      <c r="B458" s="6">
        <v>456</v>
      </c>
      <c r="C458" s="12" t="str">
        <f t="shared" si="7"/>
        <v>TAM-456</v>
      </c>
      <c r="D458" s="46" t="s">
        <v>467</v>
      </c>
      <c r="E458" s="12" t="s">
        <v>440</v>
      </c>
      <c r="F458" s="12">
        <v>10</v>
      </c>
      <c r="G458" s="12" t="str">
        <f>IFERROR(VLOOKUP(F458,Setup!B:C,2,FALSE),"")</f>
        <v>10mbps</v>
      </c>
      <c r="H458" s="13">
        <f>IFERROR(VLOOKUP(G458,Setup!C:D,2,FALSE),"")</f>
        <v>100000</v>
      </c>
      <c r="I458" s="6"/>
    </row>
    <row r="459" spans="1:9" ht="12.75" customHeight="1" x14ac:dyDescent="0.25">
      <c r="A459" s="6"/>
      <c r="B459" s="6">
        <v>457</v>
      </c>
      <c r="C459" s="12" t="str">
        <f t="shared" si="7"/>
        <v>TAM-457</v>
      </c>
      <c r="D459" s="46" t="s">
        <v>468</v>
      </c>
      <c r="E459" s="12" t="s">
        <v>440</v>
      </c>
      <c r="F459" s="12">
        <v>10</v>
      </c>
      <c r="G459" s="12" t="str">
        <f>IFERROR(VLOOKUP(F459,Setup!B:C,2,FALSE),"")</f>
        <v>10mbps</v>
      </c>
      <c r="H459" s="13">
        <f>IFERROR(VLOOKUP(G459,Setup!C:D,2,FALSE),"")</f>
        <v>100000</v>
      </c>
      <c r="I459" s="6"/>
    </row>
    <row r="460" spans="1:9" ht="12.75" customHeight="1" x14ac:dyDescent="0.25">
      <c r="A460" s="6"/>
      <c r="B460" s="6">
        <v>458</v>
      </c>
      <c r="C460" s="12" t="str">
        <f t="shared" ref="C460:C493" si="8">IF(D460="","",LEFT(SUBSTITUTE(UPPER(E460)," ",""),3)&amp;"-"&amp;TEXT(B460,"000"))</f>
        <v>TAM-458</v>
      </c>
      <c r="D460" s="46" t="s">
        <v>469</v>
      </c>
      <c r="E460" s="12" t="s">
        <v>440</v>
      </c>
      <c r="F460" s="12">
        <v>10</v>
      </c>
      <c r="G460" s="12" t="str">
        <f>IFERROR(VLOOKUP(F460,Setup!B:C,2,FALSE),"")</f>
        <v>10mbps</v>
      </c>
      <c r="H460" s="13">
        <f>IFERROR(VLOOKUP(G460,Setup!C:D,2,FALSE),"")</f>
        <v>100000</v>
      </c>
      <c r="I460" s="6"/>
    </row>
    <row r="461" spans="1:9" ht="12.75" customHeight="1" x14ac:dyDescent="0.25">
      <c r="A461" s="6"/>
      <c r="B461" s="6">
        <v>459</v>
      </c>
      <c r="C461" s="12" t="str">
        <f t="shared" si="8"/>
        <v>TAM-459</v>
      </c>
      <c r="D461" s="46" t="s">
        <v>470</v>
      </c>
      <c r="E461" s="12" t="s">
        <v>440</v>
      </c>
      <c r="F461" s="12">
        <v>10</v>
      </c>
      <c r="G461" s="12" t="str">
        <f>IFERROR(VLOOKUP(F461,Setup!B:C,2,FALSE),"")</f>
        <v>10mbps</v>
      </c>
      <c r="H461" s="13">
        <f>IFERROR(VLOOKUP(G461,Setup!C:D,2,FALSE),"")</f>
        <v>100000</v>
      </c>
      <c r="I461" s="6"/>
    </row>
    <row r="462" spans="1:9" ht="12.75" customHeight="1" x14ac:dyDescent="0.25">
      <c r="A462" s="6"/>
      <c r="B462" s="6">
        <v>460</v>
      </c>
      <c r="C462" s="12" t="str">
        <f t="shared" si="8"/>
        <v>TAM-460</v>
      </c>
      <c r="D462" s="46" t="s">
        <v>471</v>
      </c>
      <c r="E462" s="12" t="s">
        <v>440</v>
      </c>
      <c r="F462" s="12">
        <v>10</v>
      </c>
      <c r="G462" s="12" t="str">
        <f>IFERROR(VLOOKUP(F462,Setup!B:C,2,FALSE),"")</f>
        <v>10mbps</v>
      </c>
      <c r="H462" s="13">
        <f>IFERROR(VLOOKUP(G462,Setup!C:D,2,FALSE),"")</f>
        <v>100000</v>
      </c>
      <c r="I462" s="6"/>
    </row>
    <row r="463" spans="1:9" ht="12.75" customHeight="1" x14ac:dyDescent="0.25">
      <c r="A463" s="6"/>
      <c r="B463" s="6">
        <v>461</v>
      </c>
      <c r="C463" s="12" t="str">
        <f t="shared" si="8"/>
        <v>TAM-461</v>
      </c>
      <c r="D463" s="46" t="s">
        <v>472</v>
      </c>
      <c r="E463" s="12" t="s">
        <v>440</v>
      </c>
      <c r="F463" s="12">
        <v>10</v>
      </c>
      <c r="G463" s="12" t="str">
        <f>IFERROR(VLOOKUP(F463,Setup!B:C,2,FALSE),"")</f>
        <v>10mbps</v>
      </c>
      <c r="H463" s="13">
        <f>IFERROR(VLOOKUP(G463,Setup!C:D,2,FALSE),"")</f>
        <v>100000</v>
      </c>
      <c r="I463" s="6"/>
    </row>
    <row r="464" spans="1:9" ht="12.75" customHeight="1" x14ac:dyDescent="0.25">
      <c r="A464" s="6"/>
      <c r="B464" s="6">
        <v>462</v>
      </c>
      <c r="C464" s="12" t="str">
        <f t="shared" si="8"/>
        <v>TAM-462</v>
      </c>
      <c r="D464" s="46" t="s">
        <v>473</v>
      </c>
      <c r="E464" s="12" t="s">
        <v>440</v>
      </c>
      <c r="F464" s="12">
        <v>10</v>
      </c>
      <c r="G464" s="12" t="str">
        <f>IFERROR(VLOOKUP(F464,Setup!B:C,2,FALSE),"")</f>
        <v>10mbps</v>
      </c>
      <c r="H464" s="13">
        <f>IFERROR(VLOOKUP(G464,Setup!C:D,2,FALSE),"")</f>
        <v>100000</v>
      </c>
      <c r="I464" s="6"/>
    </row>
    <row r="465" spans="1:9" ht="12.75" customHeight="1" x14ac:dyDescent="0.25">
      <c r="A465" s="6"/>
      <c r="B465" s="6">
        <v>463</v>
      </c>
      <c r="C465" s="12" t="str">
        <f t="shared" si="8"/>
        <v>TAM-463</v>
      </c>
      <c r="D465" s="46" t="s">
        <v>474</v>
      </c>
      <c r="E465" s="12" t="s">
        <v>440</v>
      </c>
      <c r="F465" s="12">
        <v>10</v>
      </c>
      <c r="G465" s="12" t="str">
        <f>IFERROR(VLOOKUP(F465,Setup!B:C,2,FALSE),"")</f>
        <v>10mbps</v>
      </c>
      <c r="H465" s="13">
        <f>IFERROR(VLOOKUP(G465,Setup!C:D,2,FALSE),"")</f>
        <v>100000</v>
      </c>
      <c r="I465" s="6"/>
    </row>
    <row r="466" spans="1:9" ht="12.75" customHeight="1" x14ac:dyDescent="0.25">
      <c r="A466" s="6"/>
      <c r="B466" s="6">
        <v>464</v>
      </c>
      <c r="C466" s="12" t="str">
        <f t="shared" si="8"/>
        <v>TAM-464</v>
      </c>
      <c r="D466" s="46" t="s">
        <v>475</v>
      </c>
      <c r="E466" s="12" t="s">
        <v>440</v>
      </c>
      <c r="F466" s="12">
        <v>10</v>
      </c>
      <c r="G466" s="12" t="str">
        <f>IFERROR(VLOOKUP(F466,Setup!B:C,2,FALSE),"")</f>
        <v>10mbps</v>
      </c>
      <c r="H466" s="13">
        <f>IFERROR(VLOOKUP(G466,Setup!C:D,2,FALSE),"")</f>
        <v>100000</v>
      </c>
      <c r="I466" s="6"/>
    </row>
    <row r="467" spans="1:9" ht="12.75" customHeight="1" x14ac:dyDescent="0.25">
      <c r="A467" s="6"/>
      <c r="B467" s="6">
        <v>465</v>
      </c>
      <c r="C467" s="12" t="str">
        <f t="shared" si="8"/>
        <v>TAM-465</v>
      </c>
      <c r="D467" s="46" t="s">
        <v>476</v>
      </c>
      <c r="E467" s="12" t="s">
        <v>440</v>
      </c>
      <c r="F467" s="12">
        <v>10</v>
      </c>
      <c r="G467" s="12" t="str">
        <f>IFERROR(VLOOKUP(F467,Setup!B:C,2,FALSE),"")</f>
        <v>10mbps</v>
      </c>
      <c r="H467" s="13">
        <f>IFERROR(VLOOKUP(G467,Setup!C:D,2,FALSE),"")</f>
        <v>100000</v>
      </c>
      <c r="I467" s="6"/>
    </row>
    <row r="468" spans="1:9" ht="12.75" customHeight="1" x14ac:dyDescent="0.25">
      <c r="A468" s="6"/>
      <c r="B468" s="6">
        <v>466</v>
      </c>
      <c r="C468" s="12" t="str">
        <f t="shared" si="8"/>
        <v>TAM-466</v>
      </c>
      <c r="D468" s="46" t="s">
        <v>477</v>
      </c>
      <c r="E468" s="12" t="s">
        <v>440</v>
      </c>
      <c r="F468" s="12">
        <v>10</v>
      </c>
      <c r="G468" s="12" t="str">
        <f>IFERROR(VLOOKUP(F468,Setup!B:C,2,FALSE),"")</f>
        <v>10mbps</v>
      </c>
      <c r="H468" s="13">
        <f>IFERROR(VLOOKUP(G468,Setup!C:D,2,FALSE),"")</f>
        <v>100000</v>
      </c>
      <c r="I468" s="6"/>
    </row>
    <row r="469" spans="1:9" ht="12.75" customHeight="1" x14ac:dyDescent="0.25">
      <c r="A469" s="6"/>
      <c r="B469" s="6">
        <v>467</v>
      </c>
      <c r="C469" s="12" t="str">
        <f t="shared" si="8"/>
        <v>TAM-467</v>
      </c>
      <c r="D469" s="46" t="s">
        <v>478</v>
      </c>
      <c r="E469" s="12" t="s">
        <v>440</v>
      </c>
      <c r="F469" s="12">
        <v>10</v>
      </c>
      <c r="G469" s="12" t="str">
        <f>IFERROR(VLOOKUP(F469,Setup!B:C,2,FALSE),"")</f>
        <v>10mbps</v>
      </c>
      <c r="H469" s="13">
        <f>IFERROR(VLOOKUP(G469,Setup!C:D,2,FALSE),"")</f>
        <v>100000</v>
      </c>
      <c r="I469" s="6"/>
    </row>
    <row r="470" spans="1:9" ht="12.75" customHeight="1" x14ac:dyDescent="0.25">
      <c r="A470" s="6"/>
      <c r="B470" s="6">
        <v>468</v>
      </c>
      <c r="C470" s="12" t="str">
        <f t="shared" si="8"/>
        <v>TAM-468</v>
      </c>
      <c r="D470" s="46" t="s">
        <v>479</v>
      </c>
      <c r="E470" s="12" t="s">
        <v>440</v>
      </c>
      <c r="F470" s="12">
        <v>10</v>
      </c>
      <c r="G470" s="12" t="str">
        <f>IFERROR(VLOOKUP(F470,Setup!B:C,2,FALSE),"")</f>
        <v>10mbps</v>
      </c>
      <c r="H470" s="13">
        <f>IFERROR(VLOOKUP(G470,Setup!C:D,2,FALSE),"")</f>
        <v>100000</v>
      </c>
      <c r="I470" s="6"/>
    </row>
    <row r="471" spans="1:9" ht="12.75" customHeight="1" x14ac:dyDescent="0.25">
      <c r="A471" s="6"/>
      <c r="B471" s="6">
        <v>469</v>
      </c>
      <c r="C471" s="12" t="str">
        <f t="shared" si="8"/>
        <v>TAM-469</v>
      </c>
      <c r="D471" s="46" t="s">
        <v>480</v>
      </c>
      <c r="E471" s="12" t="s">
        <v>440</v>
      </c>
      <c r="F471" s="12">
        <v>10</v>
      </c>
      <c r="G471" s="12" t="str">
        <f>IFERROR(VLOOKUP(F471,Setup!B:C,2,FALSE),"")</f>
        <v>10mbps</v>
      </c>
      <c r="H471" s="13">
        <f>IFERROR(VLOOKUP(G471,Setup!C:D,2,FALSE),"")</f>
        <v>100000</v>
      </c>
      <c r="I471" s="6"/>
    </row>
    <row r="472" spans="1:9" ht="12.75" customHeight="1" x14ac:dyDescent="0.25">
      <c r="A472" s="6"/>
      <c r="B472" s="6">
        <v>470</v>
      </c>
      <c r="C472" s="12" t="str">
        <f t="shared" si="8"/>
        <v>TAM-470</v>
      </c>
      <c r="D472" s="46" t="s">
        <v>481</v>
      </c>
      <c r="E472" s="12" t="s">
        <v>440</v>
      </c>
      <c r="F472" s="12">
        <v>10</v>
      </c>
      <c r="G472" s="12" t="str">
        <f>IFERROR(VLOOKUP(F472,Setup!B:C,2,FALSE),"")</f>
        <v>10mbps</v>
      </c>
      <c r="H472" s="13">
        <f>IFERROR(VLOOKUP(G472,Setup!C:D,2,FALSE),"")</f>
        <v>100000</v>
      </c>
      <c r="I472" s="6"/>
    </row>
    <row r="473" spans="1:9" ht="12.75" customHeight="1" x14ac:dyDescent="0.25">
      <c r="A473" s="6"/>
      <c r="B473" s="6">
        <v>471</v>
      </c>
      <c r="C473" s="12" t="str">
        <f t="shared" si="8"/>
        <v>TAM-471</v>
      </c>
      <c r="D473" s="46" t="s">
        <v>482</v>
      </c>
      <c r="E473" s="12" t="s">
        <v>440</v>
      </c>
      <c r="F473" s="12">
        <v>10</v>
      </c>
      <c r="G473" s="12" t="str">
        <f>IFERROR(VLOOKUP(F473,Setup!B:C,2,FALSE),"")</f>
        <v>10mbps</v>
      </c>
      <c r="H473" s="13">
        <f>IFERROR(VLOOKUP(G473,Setup!C:D,2,FALSE),"")</f>
        <v>100000</v>
      </c>
      <c r="I473" s="6"/>
    </row>
    <row r="474" spans="1:9" ht="12.75" customHeight="1" x14ac:dyDescent="0.25">
      <c r="A474" s="6"/>
      <c r="B474" s="6">
        <v>472</v>
      </c>
      <c r="C474" s="12" t="str">
        <f t="shared" si="8"/>
        <v>TAM-472</v>
      </c>
      <c r="D474" s="46" t="s">
        <v>483</v>
      </c>
      <c r="E474" s="12" t="s">
        <v>440</v>
      </c>
      <c r="F474" s="12">
        <v>10</v>
      </c>
      <c r="G474" s="12" t="str">
        <f>IFERROR(VLOOKUP(F474,Setup!B:C,2,FALSE),"")</f>
        <v>10mbps</v>
      </c>
      <c r="H474" s="13">
        <f>IFERROR(VLOOKUP(G474,Setup!C:D,2,FALSE),"")</f>
        <v>100000</v>
      </c>
      <c r="I474" s="6"/>
    </row>
    <row r="475" spans="1:9" ht="12.75" customHeight="1" x14ac:dyDescent="0.25">
      <c r="A475" s="6"/>
      <c r="B475" s="6">
        <v>473</v>
      </c>
      <c r="C475" s="12" t="str">
        <f t="shared" si="8"/>
        <v>TAM-473</v>
      </c>
      <c r="D475" s="46" t="s">
        <v>484</v>
      </c>
      <c r="E475" s="12" t="s">
        <v>440</v>
      </c>
      <c r="F475" s="12">
        <v>10</v>
      </c>
      <c r="G475" s="12" t="str">
        <f>IFERROR(VLOOKUP(F475,Setup!B:C,2,FALSE),"")</f>
        <v>10mbps</v>
      </c>
      <c r="H475" s="13">
        <f>IFERROR(VLOOKUP(G475,Setup!C:D,2,FALSE),"")</f>
        <v>100000</v>
      </c>
      <c r="I475" s="6"/>
    </row>
    <row r="476" spans="1:9" ht="12.75" customHeight="1" x14ac:dyDescent="0.25">
      <c r="A476" s="6"/>
      <c r="B476" s="6">
        <v>474</v>
      </c>
      <c r="C476" s="12" t="str">
        <f t="shared" si="8"/>
        <v>TAM-474</v>
      </c>
      <c r="D476" s="46" t="s">
        <v>485</v>
      </c>
      <c r="E476" s="12" t="s">
        <v>440</v>
      </c>
      <c r="F476" s="12">
        <v>10</v>
      </c>
      <c r="G476" s="12" t="str">
        <f>IFERROR(VLOOKUP(F476,Setup!B:C,2,FALSE),"")</f>
        <v>10mbps</v>
      </c>
      <c r="H476" s="13">
        <f>IFERROR(VLOOKUP(G476,Setup!C:D,2,FALSE),"")</f>
        <v>100000</v>
      </c>
      <c r="I476" s="6"/>
    </row>
    <row r="477" spans="1:9" ht="12.75" customHeight="1" x14ac:dyDescent="0.25">
      <c r="A477" s="6"/>
      <c r="B477" s="6">
        <v>475</v>
      </c>
      <c r="C477" s="12" t="str">
        <f t="shared" si="8"/>
        <v>TAM-475</v>
      </c>
      <c r="D477" s="46" t="s">
        <v>486</v>
      </c>
      <c r="E477" s="12" t="s">
        <v>440</v>
      </c>
      <c r="F477" s="12">
        <v>10</v>
      </c>
      <c r="G477" s="12" t="str">
        <f>IFERROR(VLOOKUP(F477,Setup!B:C,2,FALSE),"")</f>
        <v>10mbps</v>
      </c>
      <c r="H477" s="13">
        <f>IFERROR(VLOOKUP(G477,Setup!C:D,2,FALSE),"")</f>
        <v>100000</v>
      </c>
      <c r="I477" s="6"/>
    </row>
    <row r="478" spans="1:9" ht="12.75" customHeight="1" x14ac:dyDescent="0.25">
      <c r="A478" s="6"/>
      <c r="B478" s="6">
        <v>476</v>
      </c>
      <c r="C478" s="12" t="str">
        <f t="shared" si="8"/>
        <v>TAM-476</v>
      </c>
      <c r="D478" s="46" t="s">
        <v>487</v>
      </c>
      <c r="E478" s="12" t="s">
        <v>440</v>
      </c>
      <c r="F478" s="12">
        <v>10</v>
      </c>
      <c r="G478" s="12" t="str">
        <f>IFERROR(VLOOKUP(F478,Setup!B:C,2,FALSE),"")</f>
        <v>10mbps</v>
      </c>
      <c r="H478" s="13">
        <f>IFERROR(VLOOKUP(G478,Setup!C:D,2,FALSE),"")</f>
        <v>100000</v>
      </c>
      <c r="I478" s="6"/>
    </row>
    <row r="479" spans="1:9" ht="12.75" customHeight="1" x14ac:dyDescent="0.25">
      <c r="A479" s="6"/>
      <c r="B479" s="6">
        <v>477</v>
      </c>
      <c r="C479" s="12" t="str">
        <f t="shared" si="8"/>
        <v>TAM-477</v>
      </c>
      <c r="D479" s="46" t="s">
        <v>488</v>
      </c>
      <c r="E479" s="12" t="s">
        <v>440</v>
      </c>
      <c r="F479" s="12">
        <v>10</v>
      </c>
      <c r="G479" s="12" t="str">
        <f>IFERROR(VLOOKUP(F479,Setup!B:C,2,FALSE),"")</f>
        <v>10mbps</v>
      </c>
      <c r="H479" s="13">
        <f>IFERROR(VLOOKUP(G479,Setup!C:D,2,FALSE),"")</f>
        <v>100000</v>
      </c>
      <c r="I479" s="6"/>
    </row>
    <row r="480" spans="1:9" ht="12.75" customHeight="1" x14ac:dyDescent="0.25">
      <c r="A480" s="6"/>
      <c r="B480" s="6">
        <v>478</v>
      </c>
      <c r="C480" s="12" t="str">
        <f t="shared" si="8"/>
        <v>TAM-478</v>
      </c>
      <c r="D480" s="46" t="s">
        <v>43</v>
      </c>
      <c r="E480" s="12" t="s">
        <v>440</v>
      </c>
      <c r="F480" s="12">
        <v>10</v>
      </c>
      <c r="G480" s="12" t="str">
        <f>IFERROR(VLOOKUP(F480,Setup!B:C,2,FALSE),"")</f>
        <v>10mbps</v>
      </c>
      <c r="H480" s="13">
        <f>IFERROR(VLOOKUP(G480,Setup!C:D,2,FALSE),"")</f>
        <v>100000</v>
      </c>
      <c r="I480" s="6"/>
    </row>
    <row r="481" spans="1:9" ht="12.75" customHeight="1" x14ac:dyDescent="0.25">
      <c r="A481" s="6"/>
      <c r="B481" s="6">
        <v>479</v>
      </c>
      <c r="C481" s="12" t="str">
        <f t="shared" si="8"/>
        <v>TAM-479</v>
      </c>
      <c r="D481" s="46" t="s">
        <v>489</v>
      </c>
      <c r="E481" s="12" t="s">
        <v>440</v>
      </c>
      <c r="F481" s="12">
        <v>10</v>
      </c>
      <c r="G481" s="12" t="str">
        <f>IFERROR(VLOOKUP(F481,Setup!B:C,2,FALSE),"")</f>
        <v>10mbps</v>
      </c>
      <c r="H481" s="13">
        <f>IFERROR(VLOOKUP(G481,Setup!C:D,2,FALSE),"")</f>
        <v>100000</v>
      </c>
      <c r="I481" s="6"/>
    </row>
    <row r="482" spans="1:9" ht="12.75" customHeight="1" x14ac:dyDescent="0.25">
      <c r="A482" s="6"/>
      <c r="B482" s="6">
        <v>480</v>
      </c>
      <c r="C482" s="12" t="str">
        <f t="shared" si="8"/>
        <v>TAM-480</v>
      </c>
      <c r="D482" s="46" t="s">
        <v>490</v>
      </c>
      <c r="E482" s="12" t="s">
        <v>440</v>
      </c>
      <c r="F482" s="12">
        <v>10</v>
      </c>
      <c r="G482" s="12" t="str">
        <f>IFERROR(VLOOKUP(F482,Setup!B:C,2,FALSE),"")</f>
        <v>10mbps</v>
      </c>
      <c r="H482" s="13">
        <f>IFERROR(VLOOKUP(G482,Setup!C:D,2,FALSE),"")</f>
        <v>100000</v>
      </c>
      <c r="I482" s="6"/>
    </row>
    <row r="483" spans="1:9" ht="12.75" customHeight="1" x14ac:dyDescent="0.25">
      <c r="A483" s="6"/>
      <c r="B483" s="6">
        <v>481</v>
      </c>
      <c r="C483" s="12" t="str">
        <f t="shared" si="8"/>
        <v>TAM-481</v>
      </c>
      <c r="D483" s="46" t="s">
        <v>491</v>
      </c>
      <c r="E483" s="12" t="s">
        <v>440</v>
      </c>
      <c r="F483" s="12">
        <v>10</v>
      </c>
      <c r="G483" s="12" t="str">
        <f>IFERROR(VLOOKUP(F483,Setup!B:C,2,FALSE),"")</f>
        <v>10mbps</v>
      </c>
      <c r="H483" s="13">
        <v>50000</v>
      </c>
      <c r="I483" s="6"/>
    </row>
    <row r="484" spans="1:9" ht="12.75" customHeight="1" x14ac:dyDescent="0.25">
      <c r="A484" s="6"/>
      <c r="B484" s="6">
        <v>482</v>
      </c>
      <c r="C484" s="12" t="str">
        <f t="shared" si="8"/>
        <v>TAM-482</v>
      </c>
      <c r="D484" s="46" t="s">
        <v>492</v>
      </c>
      <c r="E484" s="12" t="s">
        <v>440</v>
      </c>
      <c r="F484" s="12">
        <v>10</v>
      </c>
      <c r="G484" s="12" t="str">
        <f>IFERROR(VLOOKUP(F484,Setup!B:C,2,FALSE),"")</f>
        <v>10mbps</v>
      </c>
      <c r="H484" s="13">
        <v>50000</v>
      </c>
      <c r="I484" s="6"/>
    </row>
    <row r="485" spans="1:9" ht="12.75" customHeight="1" x14ac:dyDescent="0.25">
      <c r="A485" s="6"/>
      <c r="B485" s="6">
        <v>483</v>
      </c>
      <c r="C485" s="12" t="str">
        <f t="shared" si="8"/>
        <v>TAM-483</v>
      </c>
      <c r="D485" s="46" t="s">
        <v>493</v>
      </c>
      <c r="E485" s="12" t="s">
        <v>440</v>
      </c>
      <c r="F485" s="12">
        <v>20</v>
      </c>
      <c r="G485" s="12" t="str">
        <f>IFERROR(VLOOKUP(F485,Setup!B:C,2,FALSE),"")</f>
        <v>20mbps</v>
      </c>
      <c r="H485" s="13">
        <v>150000</v>
      </c>
      <c r="I485" s="6"/>
    </row>
    <row r="486" spans="1:9" ht="12.75" customHeight="1" x14ac:dyDescent="0.25">
      <c r="A486" s="6"/>
      <c r="B486" s="6">
        <v>484</v>
      </c>
      <c r="C486" s="12" t="str">
        <f t="shared" si="8"/>
        <v>TAM-484</v>
      </c>
      <c r="D486" s="46" t="s">
        <v>494</v>
      </c>
      <c r="E486" s="12" t="s">
        <v>440</v>
      </c>
      <c r="F486" s="12">
        <v>10</v>
      </c>
      <c r="G486" s="12" t="str">
        <f>IFERROR(VLOOKUP(F486,Setup!B:C,2,FALSE),"")</f>
        <v>10mbps</v>
      </c>
      <c r="H486" s="13">
        <f>IFERROR(VLOOKUP(G486,Setup!C:D,2,FALSE),"")</f>
        <v>100000</v>
      </c>
      <c r="I486" s="6"/>
    </row>
    <row r="487" spans="1:9" ht="12.75" customHeight="1" x14ac:dyDescent="0.25">
      <c r="A487" s="6"/>
      <c r="B487" s="6">
        <v>485</v>
      </c>
      <c r="C487" s="12" t="str">
        <f t="shared" si="8"/>
        <v>TAM-485</v>
      </c>
      <c r="D487" s="46" t="s">
        <v>495</v>
      </c>
      <c r="E487" s="12" t="s">
        <v>440</v>
      </c>
      <c r="F487" s="12">
        <v>10</v>
      </c>
      <c r="G487" s="12" t="str">
        <f>IFERROR(VLOOKUP(F487,Setup!B:C,2,FALSE),"")</f>
        <v>10mbps</v>
      </c>
      <c r="H487" s="13">
        <f>IFERROR(VLOOKUP(G487,Setup!C:D,2,FALSE),"")</f>
        <v>100000</v>
      </c>
      <c r="I487" s="6"/>
    </row>
    <row r="488" spans="1:9" ht="12.75" customHeight="1" x14ac:dyDescent="0.25">
      <c r="A488" s="6"/>
      <c r="B488" s="6">
        <v>486</v>
      </c>
      <c r="C488" s="12" t="str">
        <f t="shared" si="8"/>
        <v>TAM-486</v>
      </c>
      <c r="D488" s="46" t="s">
        <v>496</v>
      </c>
      <c r="E488" s="12" t="s">
        <v>440</v>
      </c>
      <c r="F488" s="12">
        <v>10</v>
      </c>
      <c r="G488" s="12" t="str">
        <f>IFERROR(VLOOKUP(F488,Setup!B:C,2,FALSE),"")</f>
        <v>10mbps</v>
      </c>
      <c r="H488" s="13">
        <f>IFERROR(VLOOKUP(G488,Setup!C:D,2,FALSE),"")</f>
        <v>100000</v>
      </c>
      <c r="I488" s="6"/>
    </row>
    <row r="489" spans="1:9" ht="12.75" customHeight="1" x14ac:dyDescent="0.25">
      <c r="A489" s="6"/>
      <c r="B489" s="6">
        <v>487</v>
      </c>
      <c r="C489" s="12" t="str">
        <f t="shared" si="8"/>
        <v>TAM-487</v>
      </c>
      <c r="D489" s="46" t="s">
        <v>497</v>
      </c>
      <c r="E489" s="12" t="s">
        <v>440</v>
      </c>
      <c r="F489" s="12">
        <v>10</v>
      </c>
      <c r="G489" s="12" t="str">
        <f>IFERROR(VLOOKUP(F489,Setup!B:C,2,FALSE),"")</f>
        <v>10mbps</v>
      </c>
      <c r="H489" s="13">
        <f>IFERROR(VLOOKUP(G489,Setup!C:D,2,FALSE),"")</f>
        <v>100000</v>
      </c>
      <c r="I489" s="6"/>
    </row>
    <row r="490" spans="1:9" ht="12.75" customHeight="1" x14ac:dyDescent="0.25">
      <c r="A490" s="6"/>
      <c r="B490" s="6">
        <v>488</v>
      </c>
      <c r="C490" s="12" t="str">
        <f t="shared" si="8"/>
        <v>TAM-488</v>
      </c>
      <c r="D490" s="46" t="s">
        <v>498</v>
      </c>
      <c r="E490" s="12" t="s">
        <v>440</v>
      </c>
      <c r="F490" s="12">
        <v>10</v>
      </c>
      <c r="G490" s="12" t="str">
        <f>IFERROR(VLOOKUP(F490,Setup!B:C,2,FALSE),"")</f>
        <v>10mbps</v>
      </c>
      <c r="H490" s="13">
        <f>IFERROR(VLOOKUP(G490,Setup!C:D,2,FALSE),"")</f>
        <v>100000</v>
      </c>
      <c r="I490" s="6"/>
    </row>
    <row r="491" spans="1:9" ht="12.75" customHeight="1" x14ac:dyDescent="0.25">
      <c r="A491" s="6"/>
      <c r="B491" s="6">
        <v>489</v>
      </c>
      <c r="C491" s="12" t="str">
        <f t="shared" si="8"/>
        <v>TAM-489</v>
      </c>
      <c r="D491" s="46" t="s">
        <v>499</v>
      </c>
      <c r="E491" s="12" t="s">
        <v>440</v>
      </c>
      <c r="F491" s="12">
        <v>10</v>
      </c>
      <c r="G491" s="12" t="str">
        <f>IFERROR(VLOOKUP(F491,Setup!B:C,2,FALSE),"")</f>
        <v>10mbps</v>
      </c>
      <c r="H491" s="13">
        <f>IFERROR(VLOOKUP(G491,Setup!C:D,2,FALSE),"")</f>
        <v>100000</v>
      </c>
      <c r="I491" s="6"/>
    </row>
    <row r="492" spans="1:9" ht="12.75" customHeight="1" x14ac:dyDescent="0.25">
      <c r="A492" s="6"/>
      <c r="B492" s="6">
        <v>490</v>
      </c>
      <c r="C492" s="12" t="str">
        <f t="shared" si="8"/>
        <v>TAM-490</v>
      </c>
      <c r="D492" s="46" t="s">
        <v>500</v>
      </c>
      <c r="E492" s="12" t="s">
        <v>440</v>
      </c>
      <c r="F492" s="12">
        <v>10</v>
      </c>
      <c r="G492" s="12" t="str">
        <f>IFERROR(VLOOKUP(F492,Setup!B:C,2,FALSE),"")</f>
        <v>10mbps</v>
      </c>
      <c r="H492" s="13" t="s">
        <v>552</v>
      </c>
      <c r="I492" s="6"/>
    </row>
    <row r="493" spans="1:9" ht="12.75" customHeight="1" x14ac:dyDescent="0.25">
      <c r="A493" s="6"/>
      <c r="B493" s="6">
        <v>491</v>
      </c>
      <c r="C493" s="12" t="str">
        <f t="shared" si="8"/>
        <v>TAM-491</v>
      </c>
      <c r="D493" s="46" t="s">
        <v>501</v>
      </c>
      <c r="E493" s="12" t="s">
        <v>440</v>
      </c>
      <c r="F493" s="12">
        <v>10</v>
      </c>
      <c r="G493" s="12" t="str">
        <f>IFERROR(VLOOKUP(F493,Setup!B:C,2,FALSE),"")</f>
        <v>10mbps</v>
      </c>
      <c r="H493" s="13" t="s">
        <v>552</v>
      </c>
      <c r="I493" s="6"/>
    </row>
    <row r="494" spans="1:9" ht="12.75" customHeight="1" x14ac:dyDescent="0.25">
      <c r="A494" s="6"/>
      <c r="B494" s="6">
        <v>492</v>
      </c>
      <c r="C494" s="12" t="str">
        <f t="shared" ref="C494" si="9">IF(D494="","",LEFT(SUBSTITUTE(UPPER(E494)," ",""),3)&amp;"-"&amp;TEXT(B494,"000"))</f>
        <v>TAM-492</v>
      </c>
      <c r="D494" s="51" t="s">
        <v>587</v>
      </c>
      <c r="E494" s="12" t="s">
        <v>440</v>
      </c>
      <c r="F494" s="6">
        <v>10</v>
      </c>
      <c r="G494" s="12" t="str">
        <f>IFERROR(VLOOKUP(F494,Setup!B:C,2,FALSE),"")</f>
        <v>10mbps</v>
      </c>
      <c r="H494" s="13">
        <v>100000</v>
      </c>
      <c r="I494" s="6"/>
    </row>
    <row r="495" spans="1:9" ht="12.75" customHeight="1" x14ac:dyDescent="0.25">
      <c r="A495" s="6"/>
      <c r="B495" s="6">
        <v>493</v>
      </c>
      <c r="C495" s="12" t="str">
        <f t="shared" ref="C495:C500" si="10">IF(D495="","",LEFT(SUBSTITUTE(UPPER(E495)," ",""),3)&amp;"-"&amp;TEXT(B495,"000"))</f>
        <v>TAM-493</v>
      </c>
      <c r="D495" s="47" t="s">
        <v>560</v>
      </c>
      <c r="E495" s="42" t="s">
        <v>440</v>
      </c>
      <c r="F495" s="42">
        <v>10</v>
      </c>
      <c r="G495" s="42" t="str">
        <f>IFERROR(VLOOKUP(F495,Setup!B:C,2,FALSE),"")</f>
        <v>10mbps</v>
      </c>
      <c r="H495" s="43">
        <f>IFERROR(VLOOKUP(G495,Setup!C:D,2,FALSE),"")</f>
        <v>100000</v>
      </c>
      <c r="I495" s="6"/>
    </row>
    <row r="496" spans="1:9" ht="12.75" customHeight="1" x14ac:dyDescent="0.25">
      <c r="A496" s="6"/>
      <c r="B496" s="6">
        <v>494</v>
      </c>
      <c r="C496" s="12" t="str">
        <f t="shared" si="10"/>
        <v>TAN-494</v>
      </c>
      <c r="D496" s="47" t="s">
        <v>561</v>
      </c>
      <c r="E496" s="42" t="s">
        <v>559</v>
      </c>
      <c r="F496" s="42">
        <v>10</v>
      </c>
      <c r="G496" s="42" t="str">
        <f>IFERROR(VLOOKUP(F496,Setup!B:C,2,FALSE),"")</f>
        <v>10mbps</v>
      </c>
      <c r="H496" s="43">
        <f>IFERROR(VLOOKUP(G496,Setup!C:D,2,FALSE),"")</f>
        <v>100000</v>
      </c>
      <c r="I496" s="6"/>
    </row>
    <row r="497" spans="1:9" ht="12.75" customHeight="1" x14ac:dyDescent="0.25">
      <c r="A497" s="6"/>
      <c r="B497" s="6">
        <v>495</v>
      </c>
      <c r="C497" s="12" t="str">
        <f t="shared" si="10"/>
        <v>IDI-495</v>
      </c>
      <c r="D497" s="47" t="s">
        <v>171</v>
      </c>
      <c r="E497" s="42" t="s">
        <v>562</v>
      </c>
      <c r="F497" s="42">
        <v>10</v>
      </c>
      <c r="G497" s="42" t="str">
        <f>IFERROR(VLOOKUP(F497,Setup!B:C,2,FALSE),"")</f>
        <v>10mbps</v>
      </c>
      <c r="H497" s="43">
        <f>IFERROR(VLOOKUP(G497,Setup!C:D,2,FALSE),"")</f>
        <v>100000</v>
      </c>
      <c r="I497" s="6"/>
    </row>
    <row r="498" spans="1:9" ht="12.75" customHeight="1" x14ac:dyDescent="0.25">
      <c r="A498" s="6"/>
      <c r="B498" s="6">
        <v>496</v>
      </c>
      <c r="C498" s="12" t="str">
        <f t="shared" si="10"/>
        <v>TAN-496</v>
      </c>
      <c r="D498" s="47" t="s">
        <v>563</v>
      </c>
      <c r="E498" s="42" t="s">
        <v>559</v>
      </c>
      <c r="F498" s="42">
        <v>10</v>
      </c>
      <c r="G498" s="42" t="str">
        <f>IFERROR(VLOOKUP(F498,Setup!B:C,2,FALSE),"")</f>
        <v>10mbps</v>
      </c>
      <c r="H498" s="43">
        <f>IFERROR(VLOOKUP(G498,Setup!C:D,2,FALSE),"")</f>
        <v>100000</v>
      </c>
      <c r="I498" s="6"/>
    </row>
    <row r="499" spans="1:9" ht="12.75" customHeight="1" x14ac:dyDescent="0.25">
      <c r="A499" s="6"/>
      <c r="B499" s="6">
        <v>497</v>
      </c>
      <c r="C499" s="12" t="str">
        <f t="shared" si="10"/>
        <v>TAM-497</v>
      </c>
      <c r="D499" s="47" t="s">
        <v>564</v>
      </c>
      <c r="E499" s="42" t="s">
        <v>565</v>
      </c>
      <c r="F499" s="42">
        <v>10</v>
      </c>
      <c r="G499" s="42" t="str">
        <f>IFERROR(VLOOKUP(F499,Setup!B:C,2,FALSE),"")</f>
        <v>10mbps</v>
      </c>
      <c r="H499" s="43">
        <f>IFERROR(VLOOKUP(G499,Setup!C:D,2,FALSE),"")</f>
        <v>100000</v>
      </c>
      <c r="I499" s="6"/>
    </row>
    <row r="500" spans="1:9" ht="12.75" customHeight="1" x14ac:dyDescent="0.25">
      <c r="A500" s="6"/>
      <c r="B500" s="6">
        <v>498</v>
      </c>
      <c r="C500" s="12" t="str">
        <f t="shared" si="10"/>
        <v>BON-498</v>
      </c>
      <c r="D500" s="47" t="s">
        <v>566</v>
      </c>
      <c r="E500" s="42" t="s">
        <v>567</v>
      </c>
      <c r="F500" s="42">
        <v>10</v>
      </c>
      <c r="G500" s="42" t="str">
        <f>IFERROR(VLOOKUP(F500,Setup!B:C,2,FALSE),"")</f>
        <v>10mbps</v>
      </c>
      <c r="H500" s="43">
        <f>IFERROR(VLOOKUP(G500,Setup!C:D,2,FALSE),"")</f>
        <v>100000</v>
      </c>
      <c r="I500" s="6"/>
    </row>
    <row r="501" spans="1:9" ht="12.75" customHeight="1" x14ac:dyDescent="0.25">
      <c r="A501" s="6"/>
      <c r="B501" s="6">
        <v>499</v>
      </c>
      <c r="C501" s="12" t="str">
        <f t="shared" ref="C501" si="11">IF(D501="","",LEFT(SUBSTITUTE(UPPER(E501)," ",""),3)&amp;"-"&amp;TEXT(B501,"000"))</f>
        <v>TAN-499</v>
      </c>
      <c r="D501" s="47" t="s">
        <v>570</v>
      </c>
      <c r="E501" s="42" t="s">
        <v>559</v>
      </c>
      <c r="F501" s="42">
        <v>10</v>
      </c>
      <c r="G501" s="42" t="str">
        <f>IFERROR(VLOOKUP(F501,Setup!B:C,2,FALSE),"")</f>
        <v>10mbps</v>
      </c>
      <c r="H501" s="43">
        <f>IFERROR(VLOOKUP(G501,Setup!C:D,2,FALSE),"")</f>
        <v>100000</v>
      </c>
      <c r="I501" s="6"/>
    </row>
    <row r="502" spans="1:9" ht="12.75" customHeight="1" x14ac:dyDescent="0.25">
      <c r="A502" s="6"/>
      <c r="B502" s="6">
        <v>500</v>
      </c>
      <c r="C502" s="12" t="str">
        <f t="shared" ref="C502" si="12">IF(D502="","",LEFT(SUBSTITUTE(UPPER(E502)," ",""),3)&amp;"-"&amp;TEXT(B502,"000"))</f>
        <v>TOW-500</v>
      </c>
      <c r="D502" s="47" t="s">
        <v>572</v>
      </c>
      <c r="E502" s="42" t="s">
        <v>573</v>
      </c>
      <c r="F502" s="42">
        <v>50</v>
      </c>
      <c r="G502" s="42" t="str">
        <f>IFERROR(VLOOKUP(F502,Setup!B:C,2,FALSE),"")</f>
        <v>50mbps</v>
      </c>
      <c r="H502" s="43">
        <v>700000</v>
      </c>
      <c r="I502" s="6"/>
    </row>
    <row r="503" spans="1:9" ht="12.75" customHeight="1" x14ac:dyDescent="0.25">
      <c r="A503" s="6"/>
      <c r="B503" s="42"/>
      <c r="C503" s="42"/>
      <c r="D503" s="47"/>
      <c r="E503" s="42"/>
      <c r="F503" s="42"/>
      <c r="G503" s="42"/>
      <c r="H503" s="43"/>
      <c r="I503" s="6"/>
    </row>
    <row r="504" spans="1:9" ht="12.75" customHeight="1" x14ac:dyDescent="0.25">
      <c r="A504" s="6"/>
      <c r="B504" s="42"/>
      <c r="C504" s="42"/>
      <c r="D504" s="47"/>
      <c r="E504" s="42"/>
      <c r="F504" s="42"/>
      <c r="G504" s="42"/>
      <c r="H504" s="43"/>
      <c r="I504" s="6"/>
    </row>
    <row r="505" spans="1:9" ht="12.75" customHeight="1" x14ac:dyDescent="0.25">
      <c r="A505" s="6"/>
      <c r="B505" s="42"/>
      <c r="C505" s="42"/>
      <c r="D505" s="47"/>
      <c r="E505" s="42"/>
      <c r="F505" s="42"/>
      <c r="G505" s="42"/>
      <c r="H505" s="43"/>
      <c r="I505" s="6"/>
    </row>
    <row r="506" spans="1:9" ht="12.75" customHeight="1" x14ac:dyDescent="0.25">
      <c r="A506" s="6"/>
      <c r="B506" s="42"/>
      <c r="C506" s="42"/>
      <c r="D506" s="47"/>
      <c r="E506" s="42"/>
      <c r="F506" s="42"/>
      <c r="G506" s="42"/>
      <c r="H506" s="43"/>
      <c r="I506" s="6"/>
    </row>
    <row r="507" spans="1:9" ht="12.75" customHeight="1" x14ac:dyDescent="0.25">
      <c r="A507" s="6"/>
      <c r="B507" s="42"/>
      <c r="C507" s="42"/>
      <c r="D507" s="47"/>
      <c r="E507" s="42"/>
      <c r="F507" s="42"/>
      <c r="G507" s="42"/>
      <c r="H507" s="43"/>
      <c r="I507" s="6"/>
    </row>
    <row r="508" spans="1:9" ht="12.75" customHeight="1" x14ac:dyDescent="0.25">
      <c r="A508" s="6"/>
      <c r="B508" s="42"/>
      <c r="C508" s="42"/>
      <c r="D508" s="47"/>
      <c r="E508" s="42"/>
      <c r="F508" s="42"/>
      <c r="G508" s="42"/>
      <c r="H508" s="43"/>
      <c r="I508" s="6"/>
    </row>
    <row r="509" spans="1:9" ht="12.75" customHeight="1" x14ac:dyDescent="0.25">
      <c r="A509" s="6"/>
      <c r="B509" s="42"/>
      <c r="C509" s="42"/>
      <c r="D509" s="47"/>
      <c r="E509" s="42"/>
      <c r="F509" s="42"/>
      <c r="G509" s="42"/>
      <c r="H509" s="43"/>
      <c r="I509" s="6"/>
    </row>
    <row r="510" spans="1:9" ht="12.75" customHeight="1" x14ac:dyDescent="0.25">
      <c r="A510" s="6"/>
      <c r="B510" s="42"/>
      <c r="C510" s="42"/>
      <c r="D510" s="47"/>
      <c r="E510" s="42"/>
      <c r="F510" s="42"/>
      <c r="G510" s="42"/>
      <c r="H510" s="43"/>
      <c r="I510" s="6"/>
    </row>
    <row r="511" spans="1:9" ht="12.75" customHeight="1" x14ac:dyDescent="0.25">
      <c r="A511" s="6"/>
      <c r="B511" s="42"/>
      <c r="C511" s="42"/>
      <c r="D511" s="47"/>
      <c r="E511" s="42"/>
      <c r="F511" s="42"/>
      <c r="G511" s="42"/>
      <c r="H511" s="43"/>
      <c r="I511" s="6"/>
    </row>
    <row r="512" spans="1:9" ht="12.75" customHeight="1" x14ac:dyDescent="0.25">
      <c r="A512" s="6"/>
      <c r="B512" s="42"/>
      <c r="C512" s="42"/>
      <c r="D512" s="47"/>
      <c r="E512" s="42"/>
      <c r="F512" s="42"/>
      <c r="G512" s="42"/>
      <c r="H512" s="43"/>
      <c r="I512" s="6"/>
    </row>
    <row r="513" spans="1:9" ht="12.75" customHeight="1" x14ac:dyDescent="0.25">
      <c r="A513" s="6"/>
      <c r="B513" s="42"/>
      <c r="C513" s="42"/>
      <c r="D513" s="47"/>
      <c r="E513" s="42"/>
      <c r="F513" s="42"/>
      <c r="G513" s="42"/>
      <c r="H513" s="43"/>
      <c r="I513" s="6"/>
    </row>
    <row r="514" spans="1:9" ht="12.75" customHeight="1" x14ac:dyDescent="0.25">
      <c r="A514" s="6"/>
      <c r="B514" s="42"/>
      <c r="C514" s="42"/>
      <c r="D514" s="47"/>
      <c r="E514" s="42"/>
      <c r="F514" s="42"/>
      <c r="G514" s="42"/>
      <c r="H514" s="43"/>
      <c r="I514" s="6"/>
    </row>
    <row r="515" spans="1:9" ht="12.75" customHeight="1" x14ac:dyDescent="0.25">
      <c r="A515" s="6"/>
      <c r="B515" s="42"/>
      <c r="C515" s="42"/>
      <c r="D515" s="47"/>
      <c r="E515" s="42"/>
      <c r="F515" s="42"/>
      <c r="G515" s="42"/>
      <c r="H515" s="43"/>
      <c r="I515" s="6"/>
    </row>
    <row r="516" spans="1:9" ht="12.75" customHeight="1" x14ac:dyDescent="0.25">
      <c r="A516" s="6"/>
      <c r="B516" s="42"/>
      <c r="C516" s="42"/>
      <c r="D516" s="47"/>
      <c r="E516" s="42"/>
      <c r="F516" s="42"/>
      <c r="G516" s="42"/>
      <c r="H516" s="43"/>
      <c r="I516" s="6"/>
    </row>
    <row r="517" spans="1:9" ht="12.75" customHeight="1" x14ac:dyDescent="0.25">
      <c r="A517" s="6"/>
      <c r="B517" s="42"/>
      <c r="C517" s="42"/>
      <c r="D517" s="47"/>
      <c r="E517" s="42"/>
      <c r="F517" s="42"/>
      <c r="G517" s="42"/>
      <c r="H517" s="43"/>
      <c r="I517" s="6"/>
    </row>
    <row r="518" spans="1:9" ht="12.75" customHeight="1" x14ac:dyDescent="0.25">
      <c r="A518" s="6"/>
      <c r="B518" s="42"/>
      <c r="C518" s="42"/>
      <c r="D518" s="47"/>
      <c r="E518" s="42"/>
      <c r="F518" s="42"/>
      <c r="G518" s="42"/>
      <c r="H518" s="43"/>
      <c r="I518" s="6"/>
    </row>
    <row r="519" spans="1:9" ht="12.75" customHeight="1" x14ac:dyDescent="0.25">
      <c r="A519" s="6"/>
      <c r="B519" s="6"/>
      <c r="C519" s="6"/>
      <c r="D519" s="44"/>
      <c r="E519" s="6"/>
      <c r="F519" s="6"/>
      <c r="G519" s="6"/>
      <c r="H519" s="7"/>
      <c r="I519" s="6"/>
    </row>
    <row r="520" spans="1:9" ht="12.75" customHeight="1" x14ac:dyDescent="0.25">
      <c r="A520" s="6"/>
      <c r="B520" s="6"/>
      <c r="C520" s="6"/>
      <c r="D520" s="44"/>
      <c r="E520" s="6"/>
      <c r="F520" s="6"/>
      <c r="G520" s="6"/>
      <c r="H520" s="7"/>
      <c r="I520" s="6"/>
    </row>
    <row r="521" spans="1:9" ht="12.75" customHeight="1" x14ac:dyDescent="0.25">
      <c r="A521" s="6"/>
      <c r="B521" s="6"/>
      <c r="C521" s="6"/>
      <c r="D521" s="44"/>
      <c r="E521" s="6"/>
      <c r="F521" s="6"/>
      <c r="G521" s="6"/>
      <c r="H521" s="7"/>
      <c r="I521" s="6"/>
    </row>
    <row r="522" spans="1:9" ht="12.75" customHeight="1" x14ac:dyDescent="0.25">
      <c r="A522" s="6"/>
      <c r="B522" s="6"/>
      <c r="C522" s="6"/>
      <c r="D522" s="44"/>
      <c r="E522" s="6"/>
      <c r="F522" s="6"/>
      <c r="G522" s="6"/>
      <c r="H522" s="7"/>
      <c r="I522" s="6"/>
    </row>
    <row r="523" spans="1:9" ht="12.75" customHeight="1" x14ac:dyDescent="0.25">
      <c r="A523" s="6"/>
      <c r="B523" s="6"/>
      <c r="C523" s="6"/>
      <c r="D523" s="44"/>
      <c r="E523" s="6"/>
      <c r="F523" s="6"/>
      <c r="G523" s="6"/>
      <c r="H523" s="7"/>
      <c r="I523" s="6"/>
    </row>
    <row r="524" spans="1:9" ht="12.75" customHeight="1" x14ac:dyDescent="0.25">
      <c r="A524" s="6"/>
      <c r="B524" s="6"/>
      <c r="C524" s="6"/>
      <c r="D524" s="44"/>
      <c r="E524" s="6"/>
      <c r="F524" s="6"/>
      <c r="G524" s="6"/>
      <c r="H524" s="7"/>
      <c r="I524" s="6"/>
    </row>
    <row r="525" spans="1:9" ht="12.75" customHeight="1" x14ac:dyDescent="0.25">
      <c r="A525" s="6"/>
      <c r="B525" s="6"/>
      <c r="C525" s="6"/>
      <c r="D525" s="44"/>
      <c r="E525" s="6"/>
      <c r="F525" s="6"/>
      <c r="G525" s="6"/>
      <c r="H525" s="7"/>
      <c r="I525" s="6"/>
    </row>
    <row r="526" spans="1:9" ht="12.75" customHeight="1" x14ac:dyDescent="0.25">
      <c r="A526" s="6"/>
      <c r="B526" s="6"/>
      <c r="C526" s="6"/>
      <c r="D526" s="44"/>
      <c r="E526" s="6"/>
      <c r="F526" s="6"/>
      <c r="G526" s="6"/>
      <c r="H526" s="7"/>
      <c r="I526" s="6"/>
    </row>
    <row r="527" spans="1:9" ht="12.75" customHeight="1" x14ac:dyDescent="0.25">
      <c r="A527" s="6"/>
      <c r="B527" s="6"/>
      <c r="C527" s="6"/>
      <c r="D527" s="44"/>
      <c r="E527" s="6"/>
      <c r="F527" s="6"/>
      <c r="G527" s="6"/>
      <c r="H527" s="7"/>
      <c r="I527" s="6"/>
    </row>
    <row r="528" spans="1:9" ht="12.75" customHeight="1" x14ac:dyDescent="0.25">
      <c r="A528" s="6"/>
      <c r="B528" s="6"/>
      <c r="C528" s="6"/>
      <c r="D528" s="44"/>
      <c r="E528" s="6"/>
      <c r="F528" s="6"/>
      <c r="G528" s="6"/>
      <c r="H528" s="7"/>
      <c r="I528" s="6"/>
    </row>
    <row r="529" spans="1:9" ht="12.75" customHeight="1" x14ac:dyDescent="0.25">
      <c r="A529" s="6"/>
      <c r="B529" s="6"/>
      <c r="C529" s="6"/>
      <c r="D529" s="44"/>
      <c r="E529" s="6"/>
      <c r="F529" s="6"/>
      <c r="G529" s="6"/>
      <c r="H529" s="7"/>
      <c r="I529" s="6"/>
    </row>
    <row r="530" spans="1:9" ht="12.75" customHeight="1" x14ac:dyDescent="0.25">
      <c r="A530" s="6"/>
      <c r="B530" s="6"/>
      <c r="C530" s="6"/>
      <c r="D530" s="44"/>
      <c r="E530" s="6"/>
      <c r="F530" s="6"/>
      <c r="G530" s="6"/>
      <c r="H530" s="7"/>
      <c r="I530" s="6"/>
    </row>
    <row r="531" spans="1:9" ht="12.75" customHeight="1" x14ac:dyDescent="0.25">
      <c r="A531" s="6"/>
      <c r="B531" s="6"/>
      <c r="C531" s="6"/>
      <c r="D531" s="44"/>
      <c r="E531" s="6"/>
      <c r="F531" s="6"/>
      <c r="G531" s="6"/>
      <c r="H531" s="7"/>
      <c r="I531" s="6"/>
    </row>
    <row r="532" spans="1:9" ht="12.75" customHeight="1" x14ac:dyDescent="0.25">
      <c r="A532" s="6"/>
      <c r="B532" s="6"/>
      <c r="C532" s="6"/>
      <c r="D532" s="44"/>
      <c r="E532" s="6"/>
      <c r="F532" s="6"/>
      <c r="G532" s="6"/>
      <c r="H532" s="7"/>
      <c r="I532" s="6"/>
    </row>
    <row r="533" spans="1:9" ht="12.75" customHeight="1" x14ac:dyDescent="0.25">
      <c r="A533" s="6"/>
      <c r="B533" s="6"/>
      <c r="C533" s="6"/>
      <c r="D533" s="44"/>
      <c r="E533" s="6"/>
      <c r="F533" s="6"/>
      <c r="G533" s="6"/>
      <c r="H533" s="7"/>
      <c r="I533" s="6"/>
    </row>
    <row r="534" spans="1:9" ht="12.75" customHeight="1" x14ac:dyDescent="0.25">
      <c r="A534" s="6"/>
      <c r="B534" s="6"/>
      <c r="C534" s="6"/>
      <c r="D534" s="44"/>
      <c r="E534" s="6"/>
      <c r="F534" s="6"/>
      <c r="G534" s="6"/>
      <c r="H534" s="7"/>
      <c r="I534" s="6"/>
    </row>
    <row r="535" spans="1:9" ht="12.75" customHeight="1" x14ac:dyDescent="0.25">
      <c r="A535" s="6"/>
      <c r="B535" s="6"/>
      <c r="C535" s="6"/>
      <c r="D535" s="44"/>
      <c r="E535" s="6"/>
      <c r="F535" s="6"/>
      <c r="G535" s="6"/>
      <c r="H535" s="7"/>
      <c r="I535" s="6"/>
    </row>
    <row r="536" spans="1:9" ht="12.75" customHeight="1" x14ac:dyDescent="0.25">
      <c r="A536" s="6"/>
      <c r="B536" s="6"/>
      <c r="C536" s="6"/>
      <c r="D536" s="44"/>
      <c r="E536" s="6"/>
      <c r="F536" s="6"/>
      <c r="G536" s="6"/>
      <c r="H536" s="7"/>
      <c r="I536" s="6"/>
    </row>
    <row r="537" spans="1:9" ht="12.75" customHeight="1" x14ac:dyDescent="0.25">
      <c r="A537" s="6"/>
      <c r="B537" s="6"/>
      <c r="C537" s="6"/>
      <c r="D537" s="44"/>
      <c r="E537" s="6"/>
      <c r="F537" s="6"/>
      <c r="G537" s="6"/>
      <c r="H537" s="7"/>
      <c r="I537" s="6"/>
    </row>
    <row r="538" spans="1:9" ht="12.75" customHeight="1" x14ac:dyDescent="0.25">
      <c r="A538" s="6"/>
      <c r="B538" s="6"/>
      <c r="C538" s="6"/>
      <c r="D538" s="44"/>
      <c r="E538" s="6"/>
      <c r="F538" s="6"/>
      <c r="G538" s="6"/>
      <c r="H538" s="7"/>
      <c r="I538" s="6"/>
    </row>
    <row r="539" spans="1:9" ht="12.75" customHeight="1" x14ac:dyDescent="0.25">
      <c r="A539" s="6"/>
      <c r="B539" s="6"/>
      <c r="C539" s="6"/>
      <c r="D539" s="44"/>
      <c r="E539" s="6"/>
      <c r="F539" s="6"/>
      <c r="G539" s="6"/>
      <c r="H539" s="7"/>
      <c r="I539" s="6"/>
    </row>
    <row r="540" spans="1:9" ht="12.75" customHeight="1" x14ac:dyDescent="0.25">
      <c r="A540" s="6"/>
      <c r="B540" s="6"/>
      <c r="C540" s="6"/>
      <c r="D540" s="44"/>
      <c r="E540" s="6"/>
      <c r="F540" s="6"/>
      <c r="G540" s="6"/>
      <c r="H540" s="7"/>
      <c r="I540" s="6"/>
    </row>
    <row r="541" spans="1:9" ht="12.75" customHeight="1" x14ac:dyDescent="0.25">
      <c r="A541" s="6"/>
      <c r="B541" s="6"/>
      <c r="C541" s="6"/>
      <c r="D541" s="44"/>
      <c r="E541" s="6"/>
      <c r="F541" s="6"/>
      <c r="G541" s="6"/>
      <c r="H541" s="7"/>
      <c r="I541" s="6"/>
    </row>
    <row r="542" spans="1:9" ht="12.75" customHeight="1" x14ac:dyDescent="0.25">
      <c r="A542" s="6"/>
      <c r="B542" s="6"/>
      <c r="C542" s="6"/>
      <c r="D542" s="44"/>
      <c r="E542" s="6"/>
      <c r="F542" s="6"/>
      <c r="G542" s="6"/>
      <c r="H542" s="7"/>
      <c r="I542" s="6"/>
    </row>
    <row r="543" spans="1:9" ht="12.75" customHeight="1" x14ac:dyDescent="0.25">
      <c r="A543" s="6"/>
      <c r="B543" s="6"/>
      <c r="C543" s="6"/>
      <c r="D543" s="44"/>
      <c r="E543" s="6"/>
      <c r="F543" s="6"/>
      <c r="G543" s="6"/>
      <c r="H543" s="7"/>
      <c r="I543" s="6"/>
    </row>
    <row r="544" spans="1:9" ht="12.75" customHeight="1" x14ac:dyDescent="0.25">
      <c r="A544" s="6"/>
      <c r="B544" s="6"/>
      <c r="C544" s="6"/>
      <c r="D544" s="44"/>
      <c r="E544" s="6"/>
      <c r="F544" s="6"/>
      <c r="G544" s="6"/>
      <c r="H544" s="7"/>
      <c r="I544" s="6"/>
    </row>
    <row r="545" spans="1:9" ht="12.75" customHeight="1" x14ac:dyDescent="0.25">
      <c r="A545" s="6"/>
      <c r="B545" s="6"/>
      <c r="C545" s="6"/>
      <c r="D545" s="44"/>
      <c r="E545" s="6"/>
      <c r="F545" s="6"/>
      <c r="G545" s="6"/>
      <c r="H545" s="7"/>
      <c r="I545" s="6"/>
    </row>
    <row r="546" spans="1:9" ht="12.75" customHeight="1" x14ac:dyDescent="0.25">
      <c r="A546" s="6"/>
      <c r="B546" s="6"/>
      <c r="C546" s="6"/>
      <c r="D546" s="44"/>
      <c r="E546" s="6"/>
      <c r="F546" s="6"/>
      <c r="G546" s="6"/>
      <c r="H546" s="7"/>
      <c r="I546" s="6"/>
    </row>
    <row r="547" spans="1:9" ht="12.75" customHeight="1" x14ac:dyDescent="0.25">
      <c r="A547" s="6"/>
      <c r="B547" s="6"/>
      <c r="C547" s="6"/>
      <c r="D547" s="44"/>
      <c r="E547" s="6"/>
      <c r="F547" s="6"/>
      <c r="G547" s="6"/>
      <c r="H547" s="7"/>
      <c r="I547" s="6"/>
    </row>
    <row r="548" spans="1:9" ht="12.75" customHeight="1" x14ac:dyDescent="0.25">
      <c r="A548" s="6"/>
      <c r="B548" s="6"/>
      <c r="C548" s="6"/>
      <c r="D548" s="44"/>
      <c r="E548" s="6"/>
      <c r="F548" s="6"/>
      <c r="G548" s="6"/>
      <c r="H548" s="7"/>
      <c r="I548" s="6"/>
    </row>
    <row r="549" spans="1:9" ht="12.75" customHeight="1" x14ac:dyDescent="0.25">
      <c r="A549" s="6"/>
      <c r="B549" s="6"/>
      <c r="C549" s="6"/>
      <c r="D549" s="44"/>
      <c r="E549" s="6"/>
      <c r="F549" s="6"/>
      <c r="G549" s="6"/>
      <c r="H549" s="7"/>
      <c r="I549" s="6"/>
    </row>
    <row r="550" spans="1:9" ht="12.75" customHeight="1" x14ac:dyDescent="0.25">
      <c r="A550" s="6"/>
      <c r="B550" s="6"/>
      <c r="C550" s="6"/>
      <c r="D550" s="44"/>
      <c r="E550" s="6"/>
      <c r="F550" s="6"/>
      <c r="G550" s="6"/>
      <c r="H550" s="7"/>
      <c r="I550" s="6"/>
    </row>
    <row r="551" spans="1:9" ht="12.75" customHeight="1" x14ac:dyDescent="0.25">
      <c r="A551" s="6"/>
      <c r="B551" s="6"/>
      <c r="C551" s="6"/>
      <c r="D551" s="44"/>
      <c r="E551" s="6"/>
      <c r="F551" s="6"/>
      <c r="G551" s="6"/>
      <c r="H551" s="7"/>
      <c r="I551" s="6"/>
    </row>
    <row r="552" spans="1:9" ht="12.75" customHeight="1" x14ac:dyDescent="0.25">
      <c r="A552" s="6"/>
      <c r="B552" s="6"/>
      <c r="C552" s="6"/>
      <c r="D552" s="44"/>
      <c r="E552" s="6"/>
      <c r="F552" s="6"/>
      <c r="G552" s="6"/>
      <c r="H552" s="7"/>
      <c r="I552" s="6"/>
    </row>
    <row r="553" spans="1:9" ht="12.75" customHeight="1" x14ac:dyDescent="0.25">
      <c r="A553" s="6"/>
      <c r="B553" s="6"/>
      <c r="C553" s="6"/>
      <c r="D553" s="44"/>
      <c r="E553" s="6"/>
      <c r="F553" s="6"/>
      <c r="G553" s="6"/>
      <c r="H553" s="7"/>
      <c r="I553" s="6"/>
    </row>
    <row r="554" spans="1:9" ht="12.75" customHeight="1" x14ac:dyDescent="0.25">
      <c r="A554" s="6"/>
      <c r="B554" s="6"/>
      <c r="C554" s="6"/>
      <c r="D554" s="44"/>
      <c r="E554" s="6"/>
      <c r="F554" s="6"/>
      <c r="G554" s="6"/>
      <c r="H554" s="7"/>
      <c r="I554" s="6"/>
    </row>
    <row r="555" spans="1:9" ht="12.75" customHeight="1" x14ac:dyDescent="0.25">
      <c r="A555" s="6"/>
      <c r="B555" s="6"/>
      <c r="C555" s="6"/>
      <c r="D555" s="44"/>
      <c r="E555" s="6"/>
      <c r="F555" s="6"/>
      <c r="G555" s="6"/>
      <c r="H555" s="7"/>
      <c r="I555" s="6"/>
    </row>
    <row r="556" spans="1:9" ht="12.75" customHeight="1" x14ac:dyDescent="0.25">
      <c r="A556" s="6"/>
      <c r="B556" s="6"/>
      <c r="C556" s="6"/>
      <c r="D556" s="44"/>
      <c r="E556" s="6"/>
      <c r="F556" s="6"/>
      <c r="G556" s="6"/>
      <c r="H556" s="7"/>
      <c r="I556" s="6"/>
    </row>
    <row r="557" spans="1:9" ht="12.75" customHeight="1" x14ac:dyDescent="0.25">
      <c r="A557" s="6"/>
      <c r="B557" s="6"/>
      <c r="C557" s="6"/>
      <c r="D557" s="44"/>
      <c r="E557" s="6"/>
      <c r="F557" s="6"/>
      <c r="G557" s="6"/>
      <c r="H557" s="7"/>
      <c r="I557" s="6"/>
    </row>
    <row r="558" spans="1:9" ht="12.75" customHeight="1" x14ac:dyDescent="0.25">
      <c r="A558" s="6"/>
      <c r="B558" s="6"/>
      <c r="C558" s="6"/>
      <c r="D558" s="44"/>
      <c r="E558" s="6"/>
      <c r="F558" s="6"/>
      <c r="G558" s="6"/>
      <c r="H558" s="7"/>
      <c r="I558" s="6"/>
    </row>
    <row r="559" spans="1:9" ht="12.75" customHeight="1" x14ac:dyDescent="0.25">
      <c r="A559" s="6"/>
      <c r="B559" s="6"/>
      <c r="C559" s="6"/>
      <c r="D559" s="44"/>
      <c r="E559" s="6"/>
      <c r="F559" s="6"/>
      <c r="G559" s="6"/>
      <c r="H559" s="7"/>
      <c r="I559" s="6"/>
    </row>
    <row r="560" spans="1:9" ht="12.75" customHeight="1" x14ac:dyDescent="0.25">
      <c r="A560" s="6"/>
      <c r="B560" s="6"/>
      <c r="C560" s="6"/>
      <c r="D560" s="44"/>
      <c r="E560" s="6"/>
      <c r="F560" s="6"/>
      <c r="G560" s="6"/>
      <c r="H560" s="7"/>
      <c r="I560" s="6"/>
    </row>
    <row r="561" spans="1:9" ht="12.75" customHeight="1" x14ac:dyDescent="0.25">
      <c r="A561" s="6"/>
      <c r="B561" s="6"/>
      <c r="C561" s="6"/>
      <c r="D561" s="44"/>
      <c r="E561" s="6"/>
      <c r="F561" s="6"/>
      <c r="G561" s="6"/>
      <c r="H561" s="7"/>
      <c r="I561" s="6"/>
    </row>
    <row r="562" spans="1:9" ht="12.75" customHeight="1" x14ac:dyDescent="0.25">
      <c r="A562" s="6"/>
      <c r="B562" s="6"/>
      <c r="C562" s="6"/>
      <c r="D562" s="44"/>
      <c r="E562" s="6"/>
      <c r="F562" s="6"/>
      <c r="G562" s="6"/>
      <c r="H562" s="7"/>
      <c r="I562" s="6"/>
    </row>
    <row r="563" spans="1:9" ht="12.75" customHeight="1" x14ac:dyDescent="0.25">
      <c r="A563" s="6"/>
      <c r="B563" s="6"/>
      <c r="C563" s="6"/>
      <c r="D563" s="44"/>
      <c r="E563" s="6"/>
      <c r="F563" s="6"/>
      <c r="G563" s="6"/>
      <c r="H563" s="7"/>
      <c r="I563" s="6"/>
    </row>
    <row r="564" spans="1:9" ht="12.75" customHeight="1" x14ac:dyDescent="0.25">
      <c r="A564" s="6"/>
      <c r="B564" s="6"/>
      <c r="C564" s="6"/>
      <c r="D564" s="44"/>
      <c r="E564" s="6"/>
      <c r="F564" s="6"/>
      <c r="G564" s="6"/>
      <c r="H564" s="7"/>
      <c r="I564" s="6"/>
    </row>
    <row r="565" spans="1:9" ht="12.75" customHeight="1" x14ac:dyDescent="0.25">
      <c r="A565" s="6"/>
      <c r="B565" s="6"/>
      <c r="C565" s="6"/>
      <c r="D565" s="44"/>
      <c r="E565" s="6"/>
      <c r="F565" s="6"/>
      <c r="G565" s="6"/>
      <c r="H565" s="7"/>
      <c r="I565" s="6"/>
    </row>
    <row r="566" spans="1:9" ht="12.75" customHeight="1" x14ac:dyDescent="0.25">
      <c r="A566" s="6"/>
      <c r="B566" s="6"/>
      <c r="C566" s="6"/>
      <c r="D566" s="44"/>
      <c r="E566" s="6"/>
      <c r="F566" s="6"/>
      <c r="G566" s="6"/>
      <c r="H566" s="7"/>
      <c r="I566" s="6"/>
    </row>
    <row r="567" spans="1:9" ht="12.75" customHeight="1" x14ac:dyDescent="0.25">
      <c r="A567" s="6"/>
      <c r="B567" s="6"/>
      <c r="C567" s="6"/>
      <c r="D567" s="44"/>
      <c r="E567" s="6"/>
      <c r="F567" s="6"/>
      <c r="G567" s="6"/>
      <c r="H567" s="7"/>
      <c r="I567" s="6"/>
    </row>
    <row r="568" spans="1:9" ht="12.75" customHeight="1" x14ac:dyDescent="0.25">
      <c r="A568" s="6"/>
      <c r="B568" s="6"/>
      <c r="C568" s="6"/>
      <c r="D568" s="44"/>
      <c r="E568" s="6"/>
      <c r="F568" s="6"/>
      <c r="G568" s="6"/>
      <c r="H568" s="7"/>
      <c r="I568" s="6"/>
    </row>
    <row r="569" spans="1:9" ht="12.75" customHeight="1" x14ac:dyDescent="0.25">
      <c r="A569" s="6"/>
      <c r="B569" s="6"/>
      <c r="C569" s="6"/>
      <c r="D569" s="44"/>
      <c r="E569" s="6"/>
      <c r="F569" s="6"/>
      <c r="G569" s="6"/>
      <c r="H569" s="7"/>
      <c r="I569" s="6"/>
    </row>
    <row r="570" spans="1:9" ht="12.75" customHeight="1" x14ac:dyDescent="0.25">
      <c r="A570" s="6"/>
      <c r="B570" s="6"/>
      <c r="C570" s="6"/>
      <c r="D570" s="44"/>
      <c r="E570" s="6"/>
      <c r="F570" s="6"/>
      <c r="G570" s="6"/>
      <c r="H570" s="7"/>
      <c r="I570" s="6"/>
    </row>
    <row r="571" spans="1:9" ht="12.75" customHeight="1" x14ac:dyDescent="0.25">
      <c r="A571" s="6"/>
      <c r="B571" s="6"/>
      <c r="C571" s="6"/>
      <c r="D571" s="44"/>
      <c r="E571" s="6"/>
      <c r="F571" s="6"/>
      <c r="G571" s="6"/>
      <c r="H571" s="7"/>
      <c r="I571" s="6"/>
    </row>
    <row r="572" spans="1:9" ht="12.75" customHeight="1" x14ac:dyDescent="0.25">
      <c r="A572" s="6"/>
      <c r="B572" s="6"/>
      <c r="C572" s="6"/>
      <c r="D572" s="44"/>
      <c r="E572" s="6"/>
      <c r="F572" s="6"/>
      <c r="G572" s="6"/>
      <c r="H572" s="7"/>
      <c r="I572" s="6"/>
    </row>
    <row r="573" spans="1:9" ht="12.75" customHeight="1" x14ac:dyDescent="0.25">
      <c r="A573" s="6"/>
      <c r="B573" s="6"/>
      <c r="C573" s="6"/>
      <c r="D573" s="44"/>
      <c r="E573" s="6"/>
      <c r="F573" s="6"/>
      <c r="G573" s="6"/>
      <c r="H573" s="7"/>
      <c r="I573" s="6"/>
    </row>
    <row r="574" spans="1:9" ht="12.75" customHeight="1" x14ac:dyDescent="0.25">
      <c r="A574" s="6"/>
      <c r="B574" s="6"/>
      <c r="C574" s="6"/>
      <c r="D574" s="44"/>
      <c r="E574" s="6"/>
      <c r="F574" s="6"/>
      <c r="G574" s="6"/>
      <c r="H574" s="7"/>
      <c r="I574" s="6"/>
    </row>
    <row r="575" spans="1:9" ht="12.75" customHeight="1" x14ac:dyDescent="0.25">
      <c r="A575" s="6"/>
      <c r="B575" s="6"/>
      <c r="C575" s="6"/>
      <c r="D575" s="44"/>
      <c r="E575" s="6"/>
      <c r="F575" s="6"/>
      <c r="G575" s="6"/>
      <c r="H575" s="7"/>
      <c r="I575" s="6"/>
    </row>
    <row r="576" spans="1:9" ht="12.75" customHeight="1" x14ac:dyDescent="0.25">
      <c r="A576" s="6"/>
      <c r="B576" s="6"/>
      <c r="C576" s="6"/>
      <c r="D576" s="44"/>
      <c r="E576" s="6"/>
      <c r="F576" s="6"/>
      <c r="G576" s="6"/>
      <c r="H576" s="7"/>
      <c r="I576" s="6"/>
    </row>
    <row r="577" spans="1:9" ht="12.75" customHeight="1" x14ac:dyDescent="0.25">
      <c r="A577" s="6"/>
      <c r="B577" s="6"/>
      <c r="C577" s="6"/>
      <c r="D577" s="44"/>
      <c r="E577" s="6"/>
      <c r="F577" s="6"/>
      <c r="G577" s="6"/>
      <c r="H577" s="7"/>
      <c r="I577" s="6"/>
    </row>
    <row r="578" spans="1:9" ht="12.75" customHeight="1" x14ac:dyDescent="0.25">
      <c r="A578" s="6"/>
      <c r="B578" s="6"/>
      <c r="C578" s="6"/>
      <c r="D578" s="44"/>
      <c r="E578" s="6"/>
      <c r="F578" s="6"/>
      <c r="G578" s="6"/>
      <c r="H578" s="7"/>
      <c r="I578" s="6"/>
    </row>
    <row r="579" spans="1:9" ht="12.75" customHeight="1" x14ac:dyDescent="0.25">
      <c r="A579" s="6"/>
      <c r="B579" s="6"/>
      <c r="C579" s="6"/>
      <c r="D579" s="44"/>
      <c r="E579" s="6"/>
      <c r="F579" s="6"/>
      <c r="G579" s="6"/>
      <c r="H579" s="7"/>
      <c r="I579" s="6"/>
    </row>
    <row r="580" spans="1:9" ht="12.75" customHeight="1" x14ac:dyDescent="0.25">
      <c r="A580" s="6"/>
      <c r="B580" s="6"/>
      <c r="C580" s="6"/>
      <c r="D580" s="44"/>
      <c r="E580" s="6"/>
      <c r="F580" s="6"/>
      <c r="G580" s="6"/>
      <c r="H580" s="7"/>
      <c r="I580" s="6"/>
    </row>
    <row r="581" spans="1:9" ht="12.75" customHeight="1" x14ac:dyDescent="0.25">
      <c r="A581" s="6"/>
      <c r="B581" s="6"/>
      <c r="C581" s="6"/>
      <c r="D581" s="44"/>
      <c r="E581" s="6"/>
      <c r="F581" s="6"/>
      <c r="G581" s="6"/>
      <c r="H581" s="7"/>
      <c r="I581" s="6"/>
    </row>
    <row r="582" spans="1:9" ht="12.75" customHeight="1" x14ac:dyDescent="0.25">
      <c r="A582" s="6"/>
      <c r="B582" s="6"/>
      <c r="C582" s="6"/>
      <c r="D582" s="44"/>
      <c r="E582" s="6"/>
      <c r="F582" s="6"/>
      <c r="G582" s="6"/>
      <c r="H582" s="7"/>
      <c r="I582" s="6"/>
    </row>
    <row r="583" spans="1:9" ht="12.75" customHeight="1" x14ac:dyDescent="0.25">
      <c r="A583" s="6"/>
      <c r="B583" s="6"/>
      <c r="C583" s="6"/>
      <c r="D583" s="44"/>
      <c r="E583" s="6"/>
      <c r="F583" s="6"/>
      <c r="G583" s="6"/>
      <c r="H583" s="7"/>
      <c r="I583" s="6"/>
    </row>
    <row r="584" spans="1:9" ht="12.75" customHeight="1" x14ac:dyDescent="0.25">
      <c r="A584" s="6"/>
      <c r="B584" s="6"/>
      <c r="C584" s="6"/>
      <c r="D584" s="44"/>
      <c r="E584" s="6"/>
      <c r="F584" s="6"/>
      <c r="G584" s="6"/>
      <c r="H584" s="7"/>
      <c r="I584" s="6"/>
    </row>
    <row r="585" spans="1:9" ht="12.75" customHeight="1" x14ac:dyDescent="0.25">
      <c r="A585" s="6"/>
      <c r="B585" s="6"/>
      <c r="C585" s="6"/>
      <c r="D585" s="44"/>
      <c r="E585" s="6"/>
      <c r="F585" s="6"/>
      <c r="G585" s="6"/>
      <c r="H585" s="7"/>
      <c r="I585" s="6"/>
    </row>
    <row r="586" spans="1:9" ht="12.75" customHeight="1" x14ac:dyDescent="0.25">
      <c r="A586" s="6"/>
      <c r="B586" s="6"/>
      <c r="C586" s="6"/>
      <c r="D586" s="44"/>
      <c r="E586" s="6"/>
      <c r="F586" s="6"/>
      <c r="G586" s="6"/>
      <c r="H586" s="7"/>
      <c r="I586" s="6"/>
    </row>
    <row r="587" spans="1:9" ht="12.75" customHeight="1" x14ac:dyDescent="0.25">
      <c r="A587" s="6"/>
      <c r="B587" s="6"/>
      <c r="C587" s="6"/>
      <c r="D587" s="44"/>
      <c r="E587" s="6"/>
      <c r="F587" s="6"/>
      <c r="G587" s="6"/>
      <c r="H587" s="7"/>
      <c r="I587" s="6"/>
    </row>
    <row r="588" spans="1:9" ht="12.75" customHeight="1" x14ac:dyDescent="0.25">
      <c r="A588" s="6"/>
      <c r="B588" s="6"/>
      <c r="C588" s="6"/>
      <c r="D588" s="44"/>
      <c r="E588" s="6"/>
      <c r="F588" s="6"/>
      <c r="G588" s="6"/>
      <c r="H588" s="7"/>
      <c r="I588" s="6"/>
    </row>
    <row r="589" spans="1:9" ht="12.75" customHeight="1" x14ac:dyDescent="0.25">
      <c r="A589" s="6"/>
      <c r="B589" s="6"/>
      <c r="C589" s="6"/>
      <c r="D589" s="44"/>
      <c r="E589" s="6"/>
      <c r="F589" s="6"/>
      <c r="G589" s="6"/>
      <c r="H589" s="7"/>
      <c r="I589" s="6"/>
    </row>
    <row r="590" spans="1:9" ht="12.75" customHeight="1" x14ac:dyDescent="0.25">
      <c r="A590" s="6"/>
      <c r="B590" s="6"/>
      <c r="C590" s="6"/>
      <c r="D590" s="44"/>
      <c r="E590" s="6"/>
      <c r="F590" s="6"/>
      <c r="G590" s="6"/>
      <c r="H590" s="7"/>
      <c r="I590" s="6"/>
    </row>
    <row r="591" spans="1:9" ht="12.75" customHeight="1" x14ac:dyDescent="0.25">
      <c r="A591" s="6"/>
      <c r="B591" s="6"/>
      <c r="C591" s="6"/>
      <c r="D591" s="44"/>
      <c r="E591" s="6"/>
      <c r="F591" s="6"/>
      <c r="G591" s="6"/>
      <c r="H591" s="7"/>
      <c r="I591" s="6"/>
    </row>
    <row r="592" spans="1:9" ht="12.75" customHeight="1" x14ac:dyDescent="0.25">
      <c r="A592" s="6"/>
      <c r="B592" s="6"/>
      <c r="C592" s="6"/>
      <c r="D592" s="44"/>
      <c r="E592" s="6"/>
      <c r="F592" s="6"/>
      <c r="G592" s="6"/>
      <c r="H592" s="7"/>
      <c r="I592" s="6"/>
    </row>
    <row r="593" spans="1:9" ht="12.75" customHeight="1" x14ac:dyDescent="0.25">
      <c r="A593" s="6"/>
      <c r="B593" s="6"/>
      <c r="C593" s="6"/>
      <c r="D593" s="44"/>
      <c r="E593" s="6"/>
      <c r="F593" s="6"/>
      <c r="G593" s="6"/>
      <c r="H593" s="7"/>
      <c r="I593" s="6"/>
    </row>
    <row r="594" spans="1:9" ht="12.75" customHeight="1" x14ac:dyDescent="0.25">
      <c r="A594" s="6"/>
      <c r="B594" s="6"/>
      <c r="C594" s="6"/>
      <c r="D594" s="44"/>
      <c r="E594" s="6"/>
      <c r="F594" s="6"/>
      <c r="G594" s="6"/>
      <c r="H594" s="7"/>
      <c r="I594" s="6"/>
    </row>
    <row r="595" spans="1:9" ht="12.75" customHeight="1" x14ac:dyDescent="0.25">
      <c r="A595" s="6"/>
      <c r="B595" s="6"/>
      <c r="C595" s="6"/>
      <c r="D595" s="44"/>
      <c r="E595" s="6"/>
      <c r="F595" s="6"/>
      <c r="G595" s="6"/>
      <c r="H595" s="7"/>
      <c r="I595" s="6"/>
    </row>
    <row r="596" spans="1:9" ht="12.75" customHeight="1" x14ac:dyDescent="0.25">
      <c r="A596" s="6"/>
      <c r="B596" s="6"/>
      <c r="C596" s="6"/>
      <c r="D596" s="44"/>
      <c r="E596" s="6"/>
      <c r="F596" s="6"/>
      <c r="G596" s="6"/>
      <c r="H596" s="7"/>
      <c r="I596" s="6"/>
    </row>
    <row r="597" spans="1:9" ht="12.75" customHeight="1" x14ac:dyDescent="0.25">
      <c r="A597" s="6"/>
      <c r="B597" s="6"/>
      <c r="C597" s="6"/>
      <c r="D597" s="44"/>
      <c r="E597" s="6"/>
      <c r="F597" s="6"/>
      <c r="G597" s="6"/>
      <c r="H597" s="7"/>
      <c r="I597" s="6"/>
    </row>
    <row r="598" spans="1:9" ht="12.75" customHeight="1" x14ac:dyDescent="0.25">
      <c r="A598" s="6"/>
      <c r="B598" s="6"/>
      <c r="C598" s="6"/>
      <c r="D598" s="44"/>
      <c r="E598" s="6"/>
      <c r="F598" s="6"/>
      <c r="G598" s="6"/>
      <c r="H598" s="7"/>
      <c r="I598" s="6"/>
    </row>
    <row r="599" spans="1:9" ht="12.75" customHeight="1" x14ac:dyDescent="0.25">
      <c r="A599" s="6"/>
      <c r="B599" s="6"/>
      <c r="C599" s="6"/>
      <c r="D599" s="44"/>
      <c r="E599" s="6"/>
      <c r="F599" s="6"/>
      <c r="G599" s="6"/>
      <c r="H599" s="7"/>
      <c r="I599" s="6"/>
    </row>
    <row r="600" spans="1:9" ht="12.75" customHeight="1" x14ac:dyDescent="0.25">
      <c r="A600" s="6"/>
      <c r="B600" s="6"/>
      <c r="C600" s="6"/>
      <c r="D600" s="44"/>
      <c r="E600" s="6"/>
      <c r="F600" s="6"/>
      <c r="G600" s="6"/>
      <c r="H600" s="7"/>
      <c r="I600" s="6"/>
    </row>
    <row r="601" spans="1:9" ht="12.75" customHeight="1" x14ac:dyDescent="0.25">
      <c r="A601" s="6"/>
      <c r="B601" s="6"/>
      <c r="C601" s="6"/>
      <c r="D601" s="44"/>
      <c r="E601" s="6"/>
      <c r="F601" s="6"/>
      <c r="G601" s="6"/>
      <c r="H601" s="7"/>
      <c r="I601" s="6"/>
    </row>
    <row r="602" spans="1:9" ht="12.75" customHeight="1" x14ac:dyDescent="0.25">
      <c r="A602" s="6"/>
      <c r="B602" s="6"/>
      <c r="C602" s="6"/>
      <c r="D602" s="44"/>
      <c r="E602" s="6"/>
      <c r="F602" s="6"/>
      <c r="G602" s="6"/>
      <c r="H602" s="7"/>
      <c r="I602" s="6"/>
    </row>
    <row r="603" spans="1:9" ht="12.75" customHeight="1" x14ac:dyDescent="0.25">
      <c r="A603" s="6"/>
      <c r="B603" s="6"/>
      <c r="C603" s="6"/>
      <c r="D603" s="44"/>
      <c r="E603" s="6"/>
      <c r="F603" s="6"/>
      <c r="G603" s="6"/>
      <c r="H603" s="7"/>
      <c r="I603" s="6"/>
    </row>
    <row r="604" spans="1:9" ht="12.75" customHeight="1" x14ac:dyDescent="0.25">
      <c r="A604" s="6"/>
      <c r="B604" s="6"/>
      <c r="C604" s="6"/>
      <c r="D604" s="44"/>
      <c r="E604" s="6"/>
      <c r="F604" s="6"/>
      <c r="G604" s="6"/>
      <c r="H604" s="7"/>
      <c r="I604" s="6"/>
    </row>
    <row r="605" spans="1:9" ht="12.75" customHeight="1" x14ac:dyDescent="0.25">
      <c r="A605" s="6"/>
      <c r="B605" s="6"/>
      <c r="C605" s="6"/>
      <c r="D605" s="44"/>
      <c r="E605" s="6"/>
      <c r="F605" s="6"/>
      <c r="G605" s="6"/>
      <c r="H605" s="7"/>
      <c r="I605" s="6"/>
    </row>
    <row r="606" spans="1:9" ht="12.75" customHeight="1" x14ac:dyDescent="0.25">
      <c r="A606" s="6"/>
      <c r="B606" s="6"/>
      <c r="C606" s="6"/>
      <c r="D606" s="44"/>
      <c r="E606" s="6"/>
      <c r="F606" s="6"/>
      <c r="G606" s="6"/>
      <c r="H606" s="7"/>
      <c r="I606" s="6"/>
    </row>
    <row r="607" spans="1:9" ht="12.75" customHeight="1" x14ac:dyDescent="0.25">
      <c r="A607" s="6"/>
      <c r="B607" s="6"/>
      <c r="C607" s="6"/>
      <c r="D607" s="44"/>
      <c r="E607" s="6"/>
      <c r="F607" s="6"/>
      <c r="G607" s="6"/>
      <c r="H607" s="7"/>
      <c r="I607" s="6"/>
    </row>
    <row r="608" spans="1:9" ht="12.75" customHeight="1" x14ac:dyDescent="0.25">
      <c r="A608" s="6"/>
      <c r="B608" s="6"/>
      <c r="C608" s="6"/>
      <c r="D608" s="44"/>
      <c r="E608" s="6"/>
      <c r="F608" s="6"/>
      <c r="G608" s="6"/>
      <c r="H608" s="7"/>
      <c r="I608" s="6"/>
    </row>
    <row r="609" spans="1:9" ht="12.75" customHeight="1" x14ac:dyDescent="0.25">
      <c r="A609" s="6"/>
      <c r="B609" s="6"/>
      <c r="C609" s="6"/>
      <c r="D609" s="44"/>
      <c r="E609" s="6"/>
      <c r="F609" s="6"/>
      <c r="G609" s="6"/>
      <c r="H609" s="7"/>
      <c r="I609" s="6"/>
    </row>
    <row r="610" spans="1:9" ht="12.75" customHeight="1" x14ac:dyDescent="0.25">
      <c r="A610" s="6"/>
      <c r="B610" s="6"/>
      <c r="C610" s="6"/>
      <c r="D610" s="44"/>
      <c r="E610" s="6"/>
      <c r="F610" s="6"/>
      <c r="G610" s="6"/>
      <c r="H610" s="7"/>
      <c r="I610" s="6"/>
    </row>
    <row r="611" spans="1:9" ht="12.75" customHeight="1" x14ac:dyDescent="0.25">
      <c r="A611" s="6"/>
      <c r="B611" s="6"/>
      <c r="C611" s="6"/>
      <c r="D611" s="44"/>
      <c r="E611" s="6"/>
      <c r="F611" s="6"/>
      <c r="G611" s="6"/>
      <c r="H611" s="7"/>
      <c r="I611" s="6"/>
    </row>
    <row r="612" spans="1:9" ht="12.75" customHeight="1" x14ac:dyDescent="0.25">
      <c r="A612" s="6"/>
      <c r="B612" s="6"/>
      <c r="C612" s="6"/>
      <c r="D612" s="44"/>
      <c r="E612" s="6"/>
      <c r="F612" s="6"/>
      <c r="G612" s="6"/>
      <c r="H612" s="7"/>
      <c r="I612" s="6"/>
    </row>
    <row r="613" spans="1:9" ht="12.75" customHeight="1" x14ac:dyDescent="0.25">
      <c r="A613" s="6"/>
      <c r="B613" s="6"/>
      <c r="C613" s="6"/>
      <c r="D613" s="44"/>
      <c r="E613" s="6"/>
      <c r="F613" s="6"/>
      <c r="G613" s="6"/>
      <c r="H613" s="7"/>
      <c r="I613" s="6"/>
    </row>
    <row r="614" spans="1:9" ht="12.75" customHeight="1" x14ac:dyDescent="0.25">
      <c r="A614" s="6"/>
      <c r="B614" s="6"/>
      <c r="C614" s="6"/>
      <c r="D614" s="44"/>
      <c r="E614" s="6"/>
      <c r="F614" s="6"/>
      <c r="G614" s="6"/>
      <c r="H614" s="7"/>
      <c r="I614" s="6"/>
    </row>
    <row r="615" spans="1:9" ht="12.75" customHeight="1" x14ac:dyDescent="0.25">
      <c r="A615" s="6"/>
      <c r="B615" s="6"/>
      <c r="C615" s="6"/>
      <c r="D615" s="44"/>
      <c r="E615" s="6"/>
      <c r="F615" s="6"/>
      <c r="G615" s="6"/>
      <c r="H615" s="7"/>
      <c r="I615" s="6"/>
    </row>
    <row r="616" spans="1:9" ht="12.75" customHeight="1" x14ac:dyDescent="0.25">
      <c r="A616" s="6"/>
      <c r="B616" s="6"/>
      <c r="C616" s="6"/>
      <c r="D616" s="44"/>
      <c r="E616" s="6"/>
      <c r="F616" s="6"/>
      <c r="G616" s="6"/>
      <c r="H616" s="7"/>
      <c r="I616" s="6"/>
    </row>
    <row r="617" spans="1:9" ht="12.75" customHeight="1" x14ac:dyDescent="0.25">
      <c r="A617" s="6"/>
      <c r="B617" s="6"/>
      <c r="C617" s="6"/>
      <c r="D617" s="44"/>
      <c r="E617" s="6"/>
      <c r="F617" s="6"/>
      <c r="G617" s="6"/>
      <c r="H617" s="7"/>
      <c r="I617" s="6"/>
    </row>
    <row r="618" spans="1:9" ht="12.75" customHeight="1" x14ac:dyDescent="0.25">
      <c r="A618" s="6"/>
      <c r="B618" s="6"/>
      <c r="C618" s="6"/>
      <c r="D618" s="44"/>
      <c r="E618" s="6"/>
      <c r="F618" s="6"/>
      <c r="G618" s="6"/>
      <c r="H618" s="7"/>
      <c r="I618" s="6"/>
    </row>
    <row r="619" spans="1:9" ht="12.75" customHeight="1" x14ac:dyDescent="0.25">
      <c r="A619" s="6"/>
      <c r="B619" s="6"/>
      <c r="C619" s="6"/>
      <c r="D619" s="44"/>
      <c r="E619" s="6"/>
      <c r="F619" s="6"/>
      <c r="G619" s="6"/>
      <c r="H619" s="7"/>
      <c r="I619" s="6"/>
    </row>
    <row r="620" spans="1:9" ht="12.75" customHeight="1" x14ac:dyDescent="0.25">
      <c r="A620" s="6"/>
      <c r="B620" s="6"/>
      <c r="C620" s="6"/>
      <c r="D620" s="44"/>
      <c r="E620" s="6"/>
      <c r="F620" s="6"/>
      <c r="G620" s="6"/>
      <c r="H620" s="7"/>
      <c r="I620" s="6"/>
    </row>
    <row r="621" spans="1:9" ht="12.75" customHeight="1" x14ac:dyDescent="0.25">
      <c r="A621" s="6"/>
      <c r="B621" s="6"/>
      <c r="C621" s="6"/>
      <c r="D621" s="44"/>
      <c r="E621" s="6"/>
      <c r="F621" s="6"/>
      <c r="G621" s="6"/>
      <c r="H621" s="7"/>
      <c r="I621" s="6"/>
    </row>
    <row r="622" spans="1:9" ht="12.75" customHeight="1" x14ac:dyDescent="0.25">
      <c r="A622" s="6"/>
      <c r="B622" s="6"/>
      <c r="C622" s="6"/>
      <c r="D622" s="44"/>
      <c r="E622" s="6"/>
      <c r="F622" s="6"/>
      <c r="G622" s="6"/>
      <c r="H622" s="7"/>
      <c r="I622" s="6"/>
    </row>
    <row r="623" spans="1:9" ht="12.75" customHeight="1" x14ac:dyDescent="0.25">
      <c r="A623" s="6"/>
      <c r="B623" s="6"/>
      <c r="C623" s="6"/>
      <c r="D623" s="44"/>
      <c r="E623" s="6"/>
      <c r="F623" s="6"/>
      <c r="G623" s="6"/>
      <c r="H623" s="7"/>
      <c r="I623" s="6"/>
    </row>
    <row r="624" spans="1:9" ht="12.75" customHeight="1" x14ac:dyDescent="0.25">
      <c r="A624" s="6"/>
      <c r="B624" s="6"/>
      <c r="C624" s="6"/>
      <c r="D624" s="44"/>
      <c r="E624" s="6"/>
      <c r="F624" s="6"/>
      <c r="G624" s="6"/>
      <c r="H624" s="7"/>
      <c r="I624" s="6"/>
    </row>
    <row r="625" spans="1:9" ht="12.75" customHeight="1" x14ac:dyDescent="0.25">
      <c r="A625" s="6"/>
      <c r="B625" s="6"/>
      <c r="C625" s="6"/>
      <c r="D625" s="44"/>
      <c r="E625" s="6"/>
      <c r="F625" s="6"/>
      <c r="G625" s="6"/>
      <c r="H625" s="7"/>
      <c r="I625" s="6"/>
    </row>
    <row r="626" spans="1:9" ht="12.75" customHeight="1" x14ac:dyDescent="0.25">
      <c r="A626" s="6"/>
      <c r="B626" s="6"/>
      <c r="C626" s="6"/>
      <c r="D626" s="44"/>
      <c r="E626" s="6"/>
      <c r="F626" s="6"/>
      <c r="G626" s="6"/>
      <c r="H626" s="7"/>
      <c r="I626" s="6"/>
    </row>
    <row r="627" spans="1:9" ht="12.75" customHeight="1" x14ac:dyDescent="0.25">
      <c r="A627" s="6"/>
      <c r="B627" s="6"/>
      <c r="C627" s="6"/>
      <c r="D627" s="44"/>
      <c r="E627" s="6"/>
      <c r="F627" s="6"/>
      <c r="G627" s="6"/>
      <c r="H627" s="7"/>
      <c r="I627" s="6"/>
    </row>
    <row r="628" spans="1:9" ht="12.75" customHeight="1" x14ac:dyDescent="0.25">
      <c r="A628" s="6"/>
      <c r="B628" s="6"/>
      <c r="C628" s="6"/>
      <c r="D628" s="44"/>
      <c r="E628" s="6"/>
      <c r="F628" s="6"/>
      <c r="G628" s="6"/>
      <c r="H628" s="7"/>
      <c r="I628" s="6"/>
    </row>
    <row r="629" spans="1:9" ht="12.75" customHeight="1" x14ac:dyDescent="0.25">
      <c r="A629" s="6"/>
      <c r="B629" s="6"/>
      <c r="C629" s="6"/>
      <c r="D629" s="44"/>
      <c r="E629" s="6"/>
      <c r="F629" s="6"/>
      <c r="G629" s="6"/>
      <c r="H629" s="7"/>
      <c r="I629" s="6"/>
    </row>
    <row r="630" spans="1:9" ht="12.75" customHeight="1" x14ac:dyDescent="0.25">
      <c r="A630" s="6"/>
      <c r="B630" s="6"/>
      <c r="C630" s="6"/>
      <c r="D630" s="44"/>
      <c r="E630" s="6"/>
      <c r="F630" s="6"/>
      <c r="G630" s="6"/>
      <c r="H630" s="7"/>
      <c r="I630" s="6"/>
    </row>
    <row r="631" spans="1:9" ht="12.75" customHeight="1" x14ac:dyDescent="0.25">
      <c r="A631" s="6"/>
      <c r="B631" s="6"/>
      <c r="C631" s="6"/>
      <c r="D631" s="44"/>
      <c r="E631" s="6"/>
      <c r="F631" s="6"/>
      <c r="G631" s="6"/>
      <c r="H631" s="7"/>
      <c r="I631" s="6"/>
    </row>
    <row r="632" spans="1:9" ht="12.75" customHeight="1" x14ac:dyDescent="0.25">
      <c r="A632" s="6"/>
      <c r="B632" s="6"/>
      <c r="C632" s="6"/>
      <c r="D632" s="44"/>
      <c r="E632" s="6"/>
      <c r="F632" s="6"/>
      <c r="G632" s="6"/>
      <c r="H632" s="7"/>
      <c r="I632" s="6"/>
    </row>
    <row r="633" spans="1:9" ht="12.75" customHeight="1" x14ac:dyDescent="0.25">
      <c r="A633" s="6"/>
      <c r="B633" s="6"/>
      <c r="C633" s="6"/>
      <c r="D633" s="44"/>
      <c r="E633" s="6"/>
      <c r="F633" s="6"/>
      <c r="G633" s="6"/>
      <c r="H633" s="7"/>
      <c r="I633" s="6"/>
    </row>
    <row r="634" spans="1:9" ht="12.75" customHeight="1" x14ac:dyDescent="0.25">
      <c r="A634" s="6"/>
      <c r="B634" s="6"/>
      <c r="C634" s="6"/>
      <c r="D634" s="44"/>
      <c r="E634" s="6"/>
      <c r="F634" s="6"/>
      <c r="G634" s="6"/>
      <c r="H634" s="7"/>
      <c r="I634" s="6"/>
    </row>
    <row r="635" spans="1:9" ht="12.75" customHeight="1" x14ac:dyDescent="0.25">
      <c r="A635" s="6"/>
      <c r="B635" s="6"/>
      <c r="C635" s="6"/>
      <c r="D635" s="44"/>
      <c r="E635" s="6"/>
      <c r="F635" s="6"/>
      <c r="G635" s="6"/>
      <c r="H635" s="7"/>
      <c r="I635" s="6"/>
    </row>
    <row r="636" spans="1:9" ht="12.75" customHeight="1" x14ac:dyDescent="0.25">
      <c r="A636" s="6"/>
      <c r="B636" s="6"/>
      <c r="C636" s="6"/>
      <c r="D636" s="44"/>
      <c r="E636" s="6"/>
      <c r="F636" s="6"/>
      <c r="G636" s="6"/>
      <c r="H636" s="7"/>
      <c r="I636" s="6"/>
    </row>
    <row r="637" spans="1:9" ht="12.75" customHeight="1" x14ac:dyDescent="0.25">
      <c r="A637" s="6"/>
      <c r="B637" s="6"/>
      <c r="C637" s="6"/>
      <c r="D637" s="44"/>
      <c r="E637" s="6"/>
      <c r="F637" s="6"/>
      <c r="G637" s="6"/>
      <c r="H637" s="7"/>
      <c r="I637" s="6"/>
    </row>
    <row r="638" spans="1:9" ht="12.75" customHeight="1" x14ac:dyDescent="0.25">
      <c r="A638" s="6"/>
      <c r="B638" s="6"/>
      <c r="C638" s="6"/>
      <c r="D638" s="44"/>
      <c r="E638" s="6"/>
      <c r="F638" s="6"/>
      <c r="G638" s="6"/>
      <c r="H638" s="7"/>
      <c r="I638" s="6"/>
    </row>
    <row r="639" spans="1:9" ht="12.75" customHeight="1" x14ac:dyDescent="0.25">
      <c r="A639" s="6"/>
      <c r="B639" s="6"/>
      <c r="C639" s="6"/>
      <c r="D639" s="44"/>
      <c r="E639" s="6"/>
      <c r="F639" s="6"/>
      <c r="G639" s="6"/>
      <c r="H639" s="7"/>
      <c r="I639" s="6"/>
    </row>
    <row r="640" spans="1:9" ht="12.75" customHeight="1" x14ac:dyDescent="0.25">
      <c r="A640" s="6"/>
      <c r="B640" s="6"/>
      <c r="C640" s="6"/>
      <c r="D640" s="44"/>
      <c r="E640" s="6"/>
      <c r="F640" s="6"/>
      <c r="G640" s="6"/>
      <c r="H640" s="7"/>
      <c r="I640" s="6"/>
    </row>
    <row r="641" spans="1:9" ht="12.75" customHeight="1" x14ac:dyDescent="0.25">
      <c r="A641" s="6"/>
      <c r="B641" s="6"/>
      <c r="C641" s="6"/>
      <c r="D641" s="44"/>
      <c r="E641" s="6"/>
      <c r="F641" s="6"/>
      <c r="G641" s="6"/>
      <c r="H641" s="7"/>
      <c r="I641" s="6"/>
    </row>
    <row r="642" spans="1:9" ht="12.75" customHeight="1" x14ac:dyDescent="0.25">
      <c r="A642" s="6"/>
      <c r="B642" s="6"/>
      <c r="C642" s="6"/>
      <c r="D642" s="44"/>
      <c r="E642" s="6"/>
      <c r="F642" s="6"/>
      <c r="G642" s="6"/>
      <c r="H642" s="7"/>
      <c r="I642" s="6"/>
    </row>
    <row r="643" spans="1:9" ht="12.75" customHeight="1" x14ac:dyDescent="0.25">
      <c r="A643" s="6"/>
      <c r="B643" s="6"/>
      <c r="C643" s="6"/>
      <c r="D643" s="44"/>
      <c r="E643" s="6"/>
      <c r="F643" s="6"/>
      <c r="G643" s="6"/>
      <c r="H643" s="7"/>
      <c r="I643" s="6"/>
    </row>
    <row r="644" spans="1:9" ht="12.75" customHeight="1" x14ac:dyDescent="0.25">
      <c r="A644" s="6"/>
      <c r="B644" s="6"/>
      <c r="C644" s="6"/>
      <c r="D644" s="44"/>
      <c r="E644" s="6"/>
      <c r="F644" s="6"/>
      <c r="G644" s="6"/>
      <c r="H644" s="7"/>
      <c r="I644" s="6"/>
    </row>
    <row r="645" spans="1:9" ht="12.75" customHeight="1" x14ac:dyDescent="0.25">
      <c r="A645" s="6"/>
      <c r="B645" s="6"/>
      <c r="C645" s="6"/>
      <c r="D645" s="44"/>
      <c r="E645" s="6"/>
      <c r="F645" s="6"/>
      <c r="G645" s="6"/>
      <c r="H645" s="7"/>
      <c r="I645" s="6"/>
    </row>
    <row r="646" spans="1:9" ht="12.75" customHeight="1" x14ac:dyDescent="0.25">
      <c r="A646" s="6"/>
      <c r="B646" s="6"/>
      <c r="C646" s="6"/>
      <c r="D646" s="44"/>
      <c r="E646" s="6"/>
      <c r="F646" s="6"/>
      <c r="G646" s="6"/>
      <c r="H646" s="7"/>
      <c r="I646" s="6"/>
    </row>
    <row r="647" spans="1:9" ht="12.75" customHeight="1" x14ac:dyDescent="0.25">
      <c r="A647" s="6"/>
      <c r="B647" s="6"/>
      <c r="C647" s="6"/>
      <c r="D647" s="44"/>
      <c r="E647" s="6"/>
      <c r="F647" s="6"/>
      <c r="G647" s="6"/>
      <c r="H647" s="7"/>
      <c r="I647" s="6"/>
    </row>
    <row r="648" spans="1:9" ht="12.75" customHeight="1" x14ac:dyDescent="0.25">
      <c r="A648" s="6"/>
      <c r="B648" s="6"/>
      <c r="C648" s="6"/>
      <c r="D648" s="44"/>
      <c r="E648" s="6"/>
      <c r="F648" s="6"/>
      <c r="G648" s="6"/>
      <c r="H648" s="7"/>
      <c r="I648" s="6"/>
    </row>
    <row r="649" spans="1:9" ht="12.75" customHeight="1" x14ac:dyDescent="0.25">
      <c r="A649" s="6"/>
      <c r="B649" s="6"/>
      <c r="C649" s="6"/>
      <c r="D649" s="44"/>
      <c r="E649" s="6"/>
      <c r="F649" s="6"/>
      <c r="G649" s="6"/>
      <c r="H649" s="7"/>
      <c r="I649" s="6"/>
    </row>
    <row r="650" spans="1:9" ht="12.75" customHeight="1" x14ac:dyDescent="0.25">
      <c r="A650" s="6"/>
      <c r="B650" s="6"/>
      <c r="C650" s="6"/>
      <c r="D650" s="44"/>
      <c r="E650" s="6"/>
      <c r="F650" s="6"/>
      <c r="G650" s="6"/>
      <c r="H650" s="7"/>
      <c r="I650" s="6"/>
    </row>
    <row r="651" spans="1:9" ht="12.75" customHeight="1" x14ac:dyDescent="0.25">
      <c r="A651" s="6"/>
      <c r="B651" s="6"/>
      <c r="C651" s="6"/>
      <c r="D651" s="44"/>
      <c r="E651" s="6"/>
      <c r="F651" s="6"/>
      <c r="G651" s="6"/>
      <c r="H651" s="7"/>
      <c r="I651" s="6"/>
    </row>
    <row r="652" spans="1:9" ht="12.75" customHeight="1" x14ac:dyDescent="0.25">
      <c r="A652" s="6"/>
      <c r="B652" s="6"/>
      <c r="C652" s="6"/>
      <c r="D652" s="44"/>
      <c r="E652" s="6"/>
      <c r="F652" s="6"/>
      <c r="G652" s="6"/>
      <c r="H652" s="7"/>
      <c r="I652" s="6"/>
    </row>
    <row r="653" spans="1:9" ht="12.75" customHeight="1" x14ac:dyDescent="0.25">
      <c r="A653" s="6"/>
      <c r="B653" s="6"/>
      <c r="C653" s="6"/>
      <c r="D653" s="44"/>
      <c r="E653" s="6"/>
      <c r="F653" s="6"/>
      <c r="G653" s="6"/>
      <c r="H653" s="7"/>
      <c r="I653" s="6"/>
    </row>
    <row r="654" spans="1:9" ht="12.75" customHeight="1" x14ac:dyDescent="0.25">
      <c r="A654" s="6"/>
      <c r="B654" s="6"/>
      <c r="C654" s="6"/>
      <c r="D654" s="44"/>
      <c r="E654" s="6"/>
      <c r="F654" s="6"/>
      <c r="G654" s="6"/>
      <c r="H654" s="7"/>
      <c r="I654" s="6"/>
    </row>
    <row r="655" spans="1:9" ht="12.75" customHeight="1" x14ac:dyDescent="0.25">
      <c r="A655" s="6"/>
      <c r="B655" s="6"/>
      <c r="C655" s="6"/>
      <c r="D655" s="44"/>
      <c r="E655" s="6"/>
      <c r="F655" s="6"/>
      <c r="G655" s="6"/>
      <c r="H655" s="7"/>
      <c r="I655" s="6"/>
    </row>
    <row r="656" spans="1:9" ht="12.75" customHeight="1" x14ac:dyDescent="0.25">
      <c r="A656" s="6"/>
      <c r="B656" s="6"/>
      <c r="C656" s="6"/>
      <c r="D656" s="44"/>
      <c r="E656" s="6"/>
      <c r="F656" s="6"/>
      <c r="G656" s="6"/>
      <c r="H656" s="7"/>
      <c r="I656" s="6"/>
    </row>
    <row r="657" spans="1:9" ht="12.75" customHeight="1" x14ac:dyDescent="0.25">
      <c r="A657" s="6"/>
      <c r="B657" s="6"/>
      <c r="C657" s="6"/>
      <c r="D657" s="44"/>
      <c r="E657" s="6"/>
      <c r="F657" s="6"/>
      <c r="G657" s="6"/>
      <c r="H657" s="7"/>
      <c r="I657" s="6"/>
    </row>
    <row r="658" spans="1:9" ht="12.75" customHeight="1" x14ac:dyDescent="0.25">
      <c r="A658" s="6"/>
      <c r="B658" s="6"/>
      <c r="C658" s="6"/>
      <c r="D658" s="44"/>
      <c r="E658" s="6"/>
      <c r="F658" s="6"/>
      <c r="G658" s="6"/>
      <c r="H658" s="7"/>
      <c r="I658" s="6"/>
    </row>
    <row r="659" spans="1:9" ht="12.75" customHeight="1" x14ac:dyDescent="0.25">
      <c r="A659" s="6"/>
      <c r="B659" s="6"/>
      <c r="C659" s="6"/>
      <c r="D659" s="44"/>
      <c r="E659" s="6"/>
      <c r="F659" s="6"/>
      <c r="G659" s="6"/>
      <c r="H659" s="7"/>
      <c r="I659" s="6"/>
    </row>
    <row r="660" spans="1:9" ht="12.75" customHeight="1" x14ac:dyDescent="0.25">
      <c r="A660" s="6"/>
      <c r="B660" s="6"/>
      <c r="C660" s="6"/>
      <c r="D660" s="44"/>
      <c r="E660" s="6"/>
      <c r="F660" s="6"/>
      <c r="G660" s="6"/>
      <c r="H660" s="7"/>
      <c r="I660" s="6"/>
    </row>
    <row r="661" spans="1:9" ht="12.75" customHeight="1" x14ac:dyDescent="0.25">
      <c r="A661" s="6"/>
      <c r="B661" s="6"/>
      <c r="C661" s="6"/>
      <c r="D661" s="44"/>
      <c r="E661" s="6"/>
      <c r="F661" s="6"/>
      <c r="G661" s="6"/>
      <c r="H661" s="7"/>
      <c r="I661" s="6"/>
    </row>
    <row r="662" spans="1:9" ht="12.75" customHeight="1" x14ac:dyDescent="0.25">
      <c r="A662" s="6"/>
      <c r="B662" s="6"/>
      <c r="C662" s="6"/>
      <c r="D662" s="44"/>
      <c r="E662" s="6"/>
      <c r="F662" s="6"/>
      <c r="G662" s="6"/>
      <c r="H662" s="7"/>
      <c r="I662" s="6"/>
    </row>
    <row r="663" spans="1:9" ht="12.75" customHeight="1" x14ac:dyDescent="0.25">
      <c r="A663" s="6"/>
      <c r="B663" s="6"/>
      <c r="C663" s="6"/>
      <c r="D663" s="44"/>
      <c r="E663" s="6"/>
      <c r="F663" s="6"/>
      <c r="G663" s="6"/>
      <c r="H663" s="7"/>
      <c r="I663" s="6"/>
    </row>
    <row r="664" spans="1:9" ht="12.75" customHeight="1" x14ac:dyDescent="0.25">
      <c r="A664" s="6"/>
      <c r="B664" s="6"/>
      <c r="C664" s="6"/>
      <c r="D664" s="44"/>
      <c r="E664" s="6"/>
      <c r="F664" s="6"/>
      <c r="G664" s="6"/>
      <c r="H664" s="7"/>
      <c r="I664" s="6"/>
    </row>
    <row r="665" spans="1:9" ht="12.75" customHeight="1" x14ac:dyDescent="0.25">
      <c r="A665" s="6"/>
      <c r="B665" s="6"/>
      <c r="C665" s="6"/>
      <c r="D665" s="44"/>
      <c r="E665" s="6"/>
      <c r="F665" s="6"/>
      <c r="G665" s="6"/>
      <c r="H665" s="7"/>
      <c r="I665" s="6"/>
    </row>
    <row r="666" spans="1:9" ht="12.75" customHeight="1" x14ac:dyDescent="0.25">
      <c r="A666" s="6"/>
      <c r="B666" s="6"/>
      <c r="C666" s="6"/>
      <c r="D666" s="44"/>
      <c r="E666" s="6"/>
      <c r="F666" s="6"/>
      <c r="G666" s="6"/>
      <c r="H666" s="7"/>
      <c r="I666" s="6"/>
    </row>
    <row r="667" spans="1:9" ht="12.75" customHeight="1" x14ac:dyDescent="0.25">
      <c r="A667" s="6"/>
      <c r="B667" s="6"/>
      <c r="C667" s="6"/>
      <c r="D667" s="44"/>
      <c r="E667" s="6"/>
      <c r="F667" s="6"/>
      <c r="G667" s="6"/>
      <c r="H667" s="7"/>
      <c r="I667" s="6"/>
    </row>
    <row r="668" spans="1:9" ht="12.75" customHeight="1" x14ac:dyDescent="0.25">
      <c r="A668" s="6"/>
      <c r="B668" s="6"/>
      <c r="C668" s="6"/>
      <c r="D668" s="44"/>
      <c r="E668" s="6"/>
      <c r="F668" s="6"/>
      <c r="G668" s="6"/>
      <c r="H668" s="7"/>
      <c r="I668" s="6"/>
    </row>
    <row r="669" spans="1:9" ht="12.75" customHeight="1" x14ac:dyDescent="0.25">
      <c r="A669" s="6"/>
      <c r="B669" s="6"/>
      <c r="C669" s="6"/>
      <c r="D669" s="44"/>
      <c r="E669" s="6"/>
      <c r="F669" s="6"/>
      <c r="G669" s="6"/>
      <c r="H669" s="7"/>
      <c r="I669" s="6"/>
    </row>
    <row r="670" spans="1:9" ht="12.75" customHeight="1" x14ac:dyDescent="0.25">
      <c r="A670" s="6"/>
      <c r="B670" s="6"/>
      <c r="C670" s="6"/>
      <c r="D670" s="44"/>
      <c r="E670" s="6"/>
      <c r="F670" s="6"/>
      <c r="G670" s="6"/>
      <c r="H670" s="7"/>
      <c r="I670" s="6"/>
    </row>
    <row r="671" spans="1:9" ht="12.75" customHeight="1" x14ac:dyDescent="0.25">
      <c r="A671" s="6"/>
      <c r="B671" s="6"/>
      <c r="C671" s="6"/>
      <c r="D671" s="44"/>
      <c r="E671" s="6"/>
      <c r="F671" s="6"/>
      <c r="G671" s="6"/>
      <c r="H671" s="7"/>
      <c r="I671" s="6"/>
    </row>
    <row r="672" spans="1:9" ht="12.75" customHeight="1" x14ac:dyDescent="0.25">
      <c r="A672" s="6"/>
      <c r="B672" s="6"/>
      <c r="C672" s="6"/>
      <c r="D672" s="44"/>
      <c r="E672" s="6"/>
      <c r="F672" s="6"/>
      <c r="G672" s="6"/>
      <c r="H672" s="7"/>
      <c r="I672" s="6"/>
    </row>
    <row r="673" spans="1:9" ht="12.75" customHeight="1" x14ac:dyDescent="0.25">
      <c r="A673" s="6"/>
      <c r="B673" s="6"/>
      <c r="C673" s="6"/>
      <c r="D673" s="44"/>
      <c r="E673" s="6"/>
      <c r="F673" s="6"/>
      <c r="G673" s="6"/>
      <c r="H673" s="7"/>
      <c r="I673" s="6"/>
    </row>
    <row r="674" spans="1:9" ht="12.75" customHeight="1" x14ac:dyDescent="0.25">
      <c r="A674" s="6"/>
      <c r="B674" s="6"/>
      <c r="C674" s="6"/>
      <c r="D674" s="44"/>
      <c r="E674" s="6"/>
      <c r="F674" s="6"/>
      <c r="G674" s="6"/>
      <c r="H674" s="7"/>
      <c r="I674" s="6"/>
    </row>
    <row r="675" spans="1:9" ht="12.75" customHeight="1" x14ac:dyDescent="0.25">
      <c r="A675" s="6"/>
      <c r="B675" s="6"/>
      <c r="C675" s="6"/>
      <c r="D675" s="44"/>
      <c r="E675" s="6"/>
      <c r="F675" s="6"/>
      <c r="G675" s="6"/>
      <c r="H675" s="7"/>
      <c r="I675" s="6"/>
    </row>
    <row r="676" spans="1:9" ht="12.75" customHeight="1" x14ac:dyDescent="0.25">
      <c r="A676" s="6"/>
      <c r="B676" s="6"/>
      <c r="C676" s="6"/>
      <c r="D676" s="44"/>
      <c r="E676" s="6"/>
      <c r="F676" s="6"/>
      <c r="G676" s="6"/>
      <c r="H676" s="7"/>
      <c r="I676" s="6"/>
    </row>
    <row r="677" spans="1:9" ht="12.75" customHeight="1" x14ac:dyDescent="0.25">
      <c r="A677" s="6"/>
      <c r="B677" s="6"/>
      <c r="C677" s="6"/>
      <c r="D677" s="44"/>
      <c r="E677" s="6"/>
      <c r="F677" s="6"/>
      <c r="G677" s="6"/>
      <c r="H677" s="7"/>
      <c r="I677" s="6"/>
    </row>
    <row r="678" spans="1:9" ht="12.75" customHeight="1" x14ac:dyDescent="0.25">
      <c r="A678" s="6"/>
      <c r="B678" s="6"/>
      <c r="C678" s="6"/>
      <c r="D678" s="44"/>
      <c r="E678" s="6"/>
      <c r="F678" s="6"/>
      <c r="G678" s="6"/>
      <c r="H678" s="7"/>
      <c r="I678" s="6"/>
    </row>
    <row r="679" spans="1:9" ht="12.75" customHeight="1" x14ac:dyDescent="0.25">
      <c r="A679" s="6"/>
      <c r="B679" s="6"/>
      <c r="C679" s="6"/>
      <c r="D679" s="44"/>
      <c r="E679" s="6"/>
      <c r="F679" s="6"/>
      <c r="G679" s="6"/>
      <c r="H679" s="7"/>
      <c r="I679" s="6"/>
    </row>
    <row r="680" spans="1:9" ht="12.75" customHeight="1" x14ac:dyDescent="0.25">
      <c r="A680" s="6"/>
      <c r="B680" s="6"/>
      <c r="C680" s="6"/>
      <c r="D680" s="44"/>
      <c r="E680" s="6"/>
      <c r="F680" s="6"/>
      <c r="G680" s="6"/>
      <c r="H680" s="7"/>
      <c r="I680" s="6"/>
    </row>
    <row r="681" spans="1:9" ht="12.75" customHeight="1" x14ac:dyDescent="0.25">
      <c r="A681" s="6"/>
      <c r="B681" s="6"/>
      <c r="C681" s="6"/>
      <c r="D681" s="44"/>
      <c r="E681" s="6"/>
      <c r="F681" s="6"/>
      <c r="G681" s="6"/>
      <c r="H681" s="7"/>
      <c r="I681" s="6"/>
    </row>
    <row r="682" spans="1:9" ht="12.75" customHeight="1" x14ac:dyDescent="0.25">
      <c r="A682" s="6"/>
      <c r="B682" s="6"/>
      <c r="C682" s="6"/>
      <c r="D682" s="44"/>
      <c r="E682" s="6"/>
      <c r="F682" s="6"/>
      <c r="G682" s="6"/>
      <c r="H682" s="7"/>
      <c r="I682" s="6"/>
    </row>
    <row r="683" spans="1:9" ht="12.75" customHeight="1" x14ac:dyDescent="0.25">
      <c r="A683" s="6"/>
      <c r="B683" s="6"/>
      <c r="C683" s="6"/>
      <c r="D683" s="44"/>
      <c r="E683" s="6"/>
      <c r="F683" s="6"/>
      <c r="G683" s="6"/>
      <c r="H683" s="7"/>
      <c r="I683" s="6"/>
    </row>
    <row r="684" spans="1:9" ht="12.75" customHeight="1" x14ac:dyDescent="0.25">
      <c r="A684" s="6"/>
      <c r="B684" s="6"/>
      <c r="C684" s="6"/>
      <c r="D684" s="44"/>
      <c r="E684" s="6"/>
      <c r="F684" s="6"/>
      <c r="G684" s="6"/>
      <c r="H684" s="7"/>
      <c r="I684" s="6"/>
    </row>
    <row r="685" spans="1:9" ht="12.75" customHeight="1" x14ac:dyDescent="0.25">
      <c r="A685" s="6"/>
      <c r="B685" s="6"/>
      <c r="C685" s="6"/>
      <c r="D685" s="44"/>
      <c r="E685" s="6"/>
      <c r="F685" s="6"/>
      <c r="G685" s="6"/>
      <c r="H685" s="7"/>
      <c r="I685" s="6"/>
    </row>
    <row r="686" spans="1:9" ht="12.75" customHeight="1" x14ac:dyDescent="0.25">
      <c r="A686" s="6"/>
      <c r="B686" s="6"/>
      <c r="C686" s="6"/>
      <c r="D686" s="44"/>
      <c r="E686" s="6"/>
      <c r="F686" s="6"/>
      <c r="G686" s="6"/>
      <c r="H686" s="7"/>
      <c r="I686" s="6"/>
    </row>
    <row r="687" spans="1:9" ht="12.75" customHeight="1" x14ac:dyDescent="0.25">
      <c r="A687" s="6"/>
      <c r="B687" s="6"/>
      <c r="C687" s="6"/>
      <c r="D687" s="44"/>
      <c r="E687" s="6"/>
      <c r="F687" s="6"/>
      <c r="G687" s="6"/>
      <c r="H687" s="7"/>
      <c r="I687" s="6"/>
    </row>
    <row r="688" spans="1:9" ht="12.75" customHeight="1" x14ac:dyDescent="0.25">
      <c r="A688" s="6"/>
      <c r="B688" s="6"/>
      <c r="C688" s="6"/>
      <c r="D688" s="44"/>
      <c r="E688" s="6"/>
      <c r="F688" s="6"/>
      <c r="G688" s="6"/>
      <c r="H688" s="7"/>
      <c r="I688" s="6"/>
    </row>
    <row r="689" spans="1:9" ht="12.75" customHeight="1" x14ac:dyDescent="0.25">
      <c r="A689" s="6"/>
      <c r="B689" s="6"/>
      <c r="C689" s="6"/>
      <c r="D689" s="44"/>
      <c r="E689" s="6"/>
      <c r="F689" s="6"/>
      <c r="G689" s="6"/>
      <c r="H689" s="7"/>
      <c r="I689" s="6"/>
    </row>
    <row r="690" spans="1:9" ht="12.75" customHeight="1" x14ac:dyDescent="0.25">
      <c r="A690" s="6"/>
      <c r="B690" s="6"/>
      <c r="C690" s="6"/>
      <c r="D690" s="44"/>
      <c r="E690" s="6"/>
      <c r="F690" s="6"/>
      <c r="G690" s="6"/>
      <c r="H690" s="7"/>
      <c r="I690" s="6"/>
    </row>
    <row r="691" spans="1:9" ht="12.75" customHeight="1" x14ac:dyDescent="0.25">
      <c r="A691" s="6"/>
      <c r="B691" s="6"/>
      <c r="C691" s="6"/>
      <c r="D691" s="44"/>
      <c r="E691" s="6"/>
      <c r="F691" s="6"/>
      <c r="G691" s="6"/>
      <c r="H691" s="7"/>
      <c r="I691" s="6"/>
    </row>
    <row r="692" spans="1:9" ht="12.75" customHeight="1" x14ac:dyDescent="0.25">
      <c r="A692" s="6"/>
      <c r="B692" s="6"/>
      <c r="C692" s="6"/>
      <c r="D692" s="44"/>
      <c r="E692" s="6"/>
      <c r="F692" s="6"/>
      <c r="G692" s="6"/>
      <c r="H692" s="7"/>
      <c r="I692" s="6"/>
    </row>
    <row r="693" spans="1:9" ht="12.75" customHeight="1" x14ac:dyDescent="0.25">
      <c r="A693" s="6"/>
      <c r="B693" s="6"/>
      <c r="C693" s="6"/>
      <c r="D693" s="44"/>
      <c r="E693" s="6"/>
      <c r="F693" s="6"/>
      <c r="G693" s="6"/>
      <c r="H693" s="7"/>
      <c r="I693" s="6"/>
    </row>
    <row r="694" spans="1:9" ht="12.75" customHeight="1" x14ac:dyDescent="0.25">
      <c r="A694" s="6"/>
      <c r="B694" s="6"/>
      <c r="C694" s="6"/>
      <c r="D694" s="44"/>
      <c r="E694" s="6"/>
      <c r="F694" s="6"/>
      <c r="G694" s="6"/>
      <c r="H694" s="7"/>
      <c r="I694" s="6"/>
    </row>
    <row r="695" spans="1:9" ht="12.75" customHeight="1" x14ac:dyDescent="0.25">
      <c r="A695" s="6"/>
      <c r="B695" s="6"/>
      <c r="C695" s="6"/>
      <c r="D695" s="44"/>
      <c r="E695" s="6"/>
      <c r="F695" s="6"/>
      <c r="G695" s="6"/>
      <c r="H695" s="7"/>
      <c r="I695" s="6"/>
    </row>
    <row r="696" spans="1:9" ht="12.75" customHeight="1" x14ac:dyDescent="0.25">
      <c r="A696" s="6"/>
      <c r="B696" s="6"/>
      <c r="C696" s="6"/>
      <c r="D696" s="44"/>
      <c r="E696" s="6"/>
      <c r="F696" s="6"/>
      <c r="G696" s="6"/>
      <c r="H696" s="7"/>
      <c r="I696" s="6"/>
    </row>
    <row r="697" spans="1:9" ht="12.75" customHeight="1" x14ac:dyDescent="0.25">
      <c r="A697" s="6"/>
      <c r="B697" s="6"/>
      <c r="C697" s="6"/>
      <c r="D697" s="44"/>
      <c r="E697" s="6"/>
      <c r="F697" s="6"/>
      <c r="G697" s="6"/>
      <c r="H697" s="7"/>
      <c r="I697" s="6"/>
    </row>
    <row r="698" spans="1:9" ht="12.75" customHeight="1" x14ac:dyDescent="0.25">
      <c r="A698" s="6"/>
      <c r="B698" s="6"/>
      <c r="C698" s="6"/>
      <c r="D698" s="44"/>
      <c r="E698" s="6"/>
      <c r="F698" s="6"/>
      <c r="G698" s="6"/>
      <c r="H698" s="7"/>
      <c r="I698" s="6"/>
    </row>
    <row r="699" spans="1:9" ht="12.75" customHeight="1" x14ac:dyDescent="0.25">
      <c r="A699" s="6"/>
      <c r="B699" s="6"/>
      <c r="C699" s="6"/>
      <c r="D699" s="44"/>
      <c r="E699" s="6"/>
      <c r="F699" s="6"/>
      <c r="G699" s="6"/>
      <c r="H699" s="7"/>
      <c r="I699" s="6"/>
    </row>
    <row r="700" spans="1:9" ht="12.75" customHeight="1" x14ac:dyDescent="0.25">
      <c r="A700" s="6"/>
      <c r="B700" s="6"/>
      <c r="C700" s="6"/>
      <c r="D700" s="44"/>
      <c r="E700" s="6"/>
      <c r="F700" s="6"/>
      <c r="G700" s="6"/>
      <c r="H700" s="7"/>
      <c r="I700" s="6"/>
    </row>
    <row r="701" spans="1:9" ht="12.75" customHeight="1" x14ac:dyDescent="0.25">
      <c r="A701" s="6"/>
      <c r="B701" s="6"/>
      <c r="C701" s="6"/>
      <c r="D701" s="44"/>
      <c r="E701" s="6"/>
      <c r="F701" s="6"/>
      <c r="G701" s="6"/>
      <c r="H701" s="7"/>
      <c r="I701" s="6"/>
    </row>
    <row r="702" spans="1:9" ht="12.75" customHeight="1" x14ac:dyDescent="0.25">
      <c r="A702" s="6"/>
      <c r="B702" s="6"/>
      <c r="C702" s="6"/>
      <c r="D702" s="44"/>
      <c r="E702" s="6"/>
      <c r="F702" s="6"/>
      <c r="G702" s="6"/>
      <c r="H702" s="7"/>
      <c r="I702" s="6"/>
    </row>
    <row r="703" spans="1:9" ht="12.75" customHeight="1" x14ac:dyDescent="0.25">
      <c r="A703" s="6"/>
      <c r="B703" s="6"/>
      <c r="C703" s="6"/>
      <c r="D703" s="44"/>
      <c r="E703" s="6"/>
      <c r="F703" s="6"/>
      <c r="G703" s="6"/>
      <c r="H703" s="7"/>
      <c r="I703" s="6"/>
    </row>
    <row r="704" spans="1:9" ht="12.75" customHeight="1" x14ac:dyDescent="0.25">
      <c r="A704" s="6"/>
      <c r="B704" s="6"/>
      <c r="C704" s="6"/>
      <c r="D704" s="44"/>
      <c r="E704" s="6"/>
      <c r="F704" s="6"/>
      <c r="G704" s="6"/>
      <c r="H704" s="7"/>
      <c r="I704" s="6"/>
    </row>
    <row r="705" spans="1:9" ht="12.75" customHeight="1" x14ac:dyDescent="0.25">
      <c r="A705" s="6"/>
      <c r="B705" s="6"/>
      <c r="C705" s="6"/>
      <c r="D705" s="44"/>
      <c r="E705" s="6"/>
      <c r="F705" s="6"/>
      <c r="G705" s="6"/>
      <c r="H705" s="7"/>
      <c r="I705" s="6"/>
    </row>
    <row r="706" spans="1:9" ht="12.75" customHeight="1" x14ac:dyDescent="0.25">
      <c r="A706" s="6"/>
      <c r="B706" s="6"/>
      <c r="C706" s="6"/>
      <c r="D706" s="44"/>
      <c r="E706" s="6"/>
      <c r="F706" s="6"/>
      <c r="G706" s="6"/>
      <c r="H706" s="7"/>
      <c r="I706" s="6"/>
    </row>
    <row r="707" spans="1:9" ht="12.75" customHeight="1" x14ac:dyDescent="0.25">
      <c r="A707" s="6"/>
      <c r="B707" s="6"/>
      <c r="C707" s="6"/>
      <c r="D707" s="44"/>
      <c r="E707" s="6"/>
      <c r="F707" s="6"/>
      <c r="G707" s="6"/>
      <c r="H707" s="7"/>
      <c r="I707" s="6"/>
    </row>
    <row r="708" spans="1:9" ht="12.75" customHeight="1" x14ac:dyDescent="0.25">
      <c r="A708" s="6"/>
      <c r="B708" s="6"/>
      <c r="C708" s="6"/>
      <c r="D708" s="44"/>
      <c r="E708" s="6"/>
      <c r="F708" s="6"/>
      <c r="G708" s="6"/>
      <c r="H708" s="7"/>
      <c r="I708" s="6"/>
    </row>
    <row r="709" spans="1:9" ht="12.75" customHeight="1" x14ac:dyDescent="0.25">
      <c r="A709" s="6"/>
      <c r="B709" s="6"/>
      <c r="C709" s="6"/>
      <c r="D709" s="44"/>
      <c r="E709" s="6"/>
      <c r="F709" s="6"/>
      <c r="G709" s="6"/>
      <c r="H709" s="7"/>
      <c r="I709" s="6"/>
    </row>
    <row r="710" spans="1:9" ht="12.75" customHeight="1" x14ac:dyDescent="0.25">
      <c r="A710" s="6"/>
      <c r="B710" s="6"/>
      <c r="C710" s="6"/>
      <c r="D710" s="44"/>
      <c r="E710" s="6"/>
      <c r="F710" s="6"/>
      <c r="G710" s="6"/>
      <c r="H710" s="7"/>
      <c r="I710" s="6"/>
    </row>
    <row r="711" spans="1:9" ht="12.75" customHeight="1" x14ac:dyDescent="0.25">
      <c r="A711" s="6"/>
      <c r="B711" s="6"/>
      <c r="C711" s="6"/>
      <c r="D711" s="44"/>
      <c r="E711" s="6"/>
      <c r="F711" s="6"/>
      <c r="G711" s="6"/>
      <c r="H711" s="7"/>
      <c r="I711" s="6"/>
    </row>
    <row r="712" spans="1:9" ht="12.75" customHeight="1" x14ac:dyDescent="0.25">
      <c r="A712" s="6"/>
      <c r="B712" s="6"/>
      <c r="C712" s="6"/>
      <c r="D712" s="44"/>
      <c r="E712" s="6"/>
      <c r="F712" s="6"/>
      <c r="G712" s="6"/>
      <c r="H712" s="7"/>
      <c r="I712" s="6"/>
    </row>
    <row r="713" spans="1:9" ht="12.75" customHeight="1" x14ac:dyDescent="0.25">
      <c r="A713" s="6"/>
      <c r="B713" s="6"/>
      <c r="C713" s="6"/>
      <c r="D713" s="44"/>
      <c r="E713" s="6"/>
      <c r="F713" s="6"/>
      <c r="G713" s="6"/>
      <c r="H713" s="7"/>
      <c r="I713" s="6"/>
    </row>
    <row r="714" spans="1:9" ht="12.75" customHeight="1" x14ac:dyDescent="0.25">
      <c r="A714" s="6"/>
      <c r="B714" s="6"/>
      <c r="C714" s="6"/>
      <c r="D714" s="44"/>
      <c r="E714" s="6"/>
      <c r="F714" s="6"/>
      <c r="G714" s="6"/>
      <c r="H714" s="7"/>
      <c r="I714" s="6"/>
    </row>
    <row r="715" spans="1:9" ht="12.75" customHeight="1" x14ac:dyDescent="0.25">
      <c r="A715" s="6"/>
      <c r="B715" s="6"/>
      <c r="C715" s="6"/>
      <c r="D715" s="44"/>
      <c r="E715" s="6"/>
      <c r="F715" s="6"/>
      <c r="G715" s="6"/>
      <c r="H715" s="7"/>
      <c r="I715" s="6"/>
    </row>
    <row r="716" spans="1:9" ht="12.75" customHeight="1" x14ac:dyDescent="0.25">
      <c r="A716" s="6"/>
      <c r="B716" s="6"/>
      <c r="C716" s="6"/>
      <c r="D716" s="44"/>
      <c r="E716" s="6"/>
      <c r="F716" s="6"/>
      <c r="G716" s="6"/>
      <c r="H716" s="7"/>
      <c r="I716" s="6"/>
    </row>
    <row r="717" spans="1:9" ht="12.75" customHeight="1" x14ac:dyDescent="0.25">
      <c r="A717" s="6"/>
      <c r="B717" s="6"/>
      <c r="C717" s="6"/>
      <c r="D717" s="44"/>
      <c r="E717" s="6"/>
      <c r="F717" s="6"/>
      <c r="G717" s="6"/>
      <c r="H717" s="7"/>
      <c r="I717" s="6"/>
    </row>
    <row r="718" spans="1:9" ht="12.75" customHeight="1" x14ac:dyDescent="0.25">
      <c r="A718" s="6"/>
      <c r="B718" s="6"/>
      <c r="C718" s="6"/>
      <c r="D718" s="44"/>
      <c r="E718" s="6"/>
      <c r="F718" s="6"/>
      <c r="G718" s="6"/>
      <c r="H718" s="7"/>
      <c r="I718" s="6"/>
    </row>
    <row r="719" spans="1:9" ht="12.75" customHeight="1" x14ac:dyDescent="0.25">
      <c r="A719" s="6"/>
      <c r="B719" s="6"/>
      <c r="C719" s="6"/>
      <c r="D719" s="44"/>
      <c r="E719" s="6"/>
      <c r="F719" s="6"/>
      <c r="G719" s="6"/>
      <c r="H719" s="7"/>
      <c r="I719" s="6"/>
    </row>
    <row r="720" spans="1:9" ht="12.75" customHeight="1" x14ac:dyDescent="0.25">
      <c r="A720" s="6"/>
      <c r="B720" s="6"/>
      <c r="C720" s="6"/>
      <c r="D720" s="44"/>
      <c r="E720" s="6"/>
      <c r="F720" s="6"/>
      <c r="G720" s="6"/>
      <c r="H720" s="7"/>
      <c r="I720" s="6"/>
    </row>
    <row r="721" spans="1:9" ht="12.75" customHeight="1" x14ac:dyDescent="0.25">
      <c r="A721" s="6"/>
      <c r="B721" s="6"/>
      <c r="C721" s="6"/>
      <c r="D721" s="44"/>
      <c r="E721" s="6"/>
      <c r="F721" s="6"/>
      <c r="G721" s="6"/>
      <c r="H721" s="7"/>
      <c r="I721" s="6"/>
    </row>
    <row r="722" spans="1:9" ht="12.75" customHeight="1" x14ac:dyDescent="0.25">
      <c r="A722" s="6"/>
      <c r="B722" s="6"/>
      <c r="C722" s="6"/>
      <c r="D722" s="44"/>
      <c r="E722" s="6"/>
      <c r="F722" s="6"/>
      <c r="G722" s="6"/>
      <c r="H722" s="7"/>
      <c r="I722" s="6"/>
    </row>
    <row r="723" spans="1:9" ht="12.75" customHeight="1" x14ac:dyDescent="0.25">
      <c r="A723" s="6"/>
      <c r="B723" s="6"/>
      <c r="C723" s="6"/>
      <c r="D723" s="44"/>
      <c r="E723" s="6"/>
      <c r="F723" s="6"/>
      <c r="G723" s="6"/>
      <c r="H723" s="7"/>
      <c r="I723" s="6"/>
    </row>
    <row r="724" spans="1:9" ht="12.75" customHeight="1" x14ac:dyDescent="0.25">
      <c r="A724" s="6"/>
      <c r="B724" s="6"/>
      <c r="C724" s="6"/>
      <c r="D724" s="44"/>
      <c r="E724" s="6"/>
      <c r="F724" s="6"/>
      <c r="G724" s="6"/>
      <c r="H724" s="7"/>
      <c r="I724" s="6"/>
    </row>
    <row r="725" spans="1:9" ht="12.75" customHeight="1" x14ac:dyDescent="0.25">
      <c r="A725" s="6"/>
      <c r="B725" s="6"/>
      <c r="C725" s="6"/>
      <c r="D725" s="44"/>
      <c r="E725" s="6"/>
      <c r="F725" s="6"/>
      <c r="G725" s="6"/>
      <c r="H725" s="7"/>
      <c r="I725" s="6"/>
    </row>
    <row r="726" spans="1:9" ht="12.75" customHeight="1" x14ac:dyDescent="0.25">
      <c r="A726" s="6"/>
      <c r="B726" s="6"/>
      <c r="C726" s="6"/>
      <c r="D726" s="44"/>
      <c r="E726" s="6"/>
      <c r="F726" s="6"/>
      <c r="G726" s="6"/>
      <c r="H726" s="7"/>
      <c r="I726" s="6"/>
    </row>
    <row r="727" spans="1:9" ht="12.75" customHeight="1" x14ac:dyDescent="0.25">
      <c r="A727" s="6"/>
      <c r="B727" s="6"/>
      <c r="C727" s="6"/>
      <c r="D727" s="44"/>
      <c r="E727" s="6"/>
      <c r="F727" s="6"/>
      <c r="G727" s="6"/>
      <c r="H727" s="7"/>
      <c r="I727" s="6"/>
    </row>
    <row r="728" spans="1:9" ht="12.75" customHeight="1" x14ac:dyDescent="0.25">
      <c r="A728" s="6"/>
      <c r="B728" s="6"/>
      <c r="C728" s="6"/>
      <c r="D728" s="44"/>
      <c r="E728" s="6"/>
      <c r="F728" s="6"/>
      <c r="G728" s="6"/>
      <c r="H728" s="7"/>
      <c r="I728" s="6"/>
    </row>
    <row r="729" spans="1:9" ht="12.75" customHeight="1" x14ac:dyDescent="0.25">
      <c r="A729" s="6"/>
      <c r="B729" s="6"/>
      <c r="C729" s="6"/>
      <c r="D729" s="44"/>
      <c r="E729" s="6"/>
      <c r="F729" s="6"/>
      <c r="G729" s="6"/>
      <c r="H729" s="7"/>
      <c r="I729" s="6"/>
    </row>
    <row r="730" spans="1:9" ht="12.75" customHeight="1" x14ac:dyDescent="0.25">
      <c r="A730" s="6"/>
      <c r="B730" s="6"/>
      <c r="C730" s="6"/>
      <c r="D730" s="44"/>
      <c r="E730" s="6"/>
      <c r="F730" s="6"/>
      <c r="G730" s="6"/>
      <c r="H730" s="7"/>
      <c r="I730" s="6"/>
    </row>
    <row r="731" spans="1:9" ht="12.75" customHeight="1" x14ac:dyDescent="0.25">
      <c r="A731" s="6"/>
      <c r="B731" s="6"/>
      <c r="C731" s="6"/>
      <c r="D731" s="44"/>
      <c r="E731" s="6"/>
      <c r="F731" s="6"/>
      <c r="G731" s="6"/>
      <c r="H731" s="7"/>
      <c r="I731" s="6"/>
    </row>
    <row r="732" spans="1:9" ht="12.75" customHeight="1" x14ac:dyDescent="0.25">
      <c r="A732" s="6"/>
      <c r="B732" s="6"/>
      <c r="C732" s="6"/>
      <c r="D732" s="44"/>
      <c r="E732" s="6"/>
      <c r="F732" s="6"/>
      <c r="G732" s="6"/>
      <c r="H732" s="7"/>
      <c r="I732" s="6"/>
    </row>
    <row r="733" spans="1:9" ht="12.75" customHeight="1" x14ac:dyDescent="0.25">
      <c r="A733" s="6"/>
      <c r="B733" s="6"/>
      <c r="C733" s="6"/>
      <c r="D733" s="44"/>
      <c r="E733" s="6"/>
      <c r="F733" s="6"/>
      <c r="G733" s="6"/>
      <c r="H733" s="7"/>
      <c r="I733" s="6"/>
    </row>
    <row r="734" spans="1:9" ht="12.75" customHeight="1" x14ac:dyDescent="0.25">
      <c r="A734" s="6"/>
      <c r="B734" s="6"/>
      <c r="C734" s="6"/>
      <c r="D734" s="44"/>
      <c r="E734" s="6"/>
      <c r="F734" s="6"/>
      <c r="G734" s="6"/>
      <c r="H734" s="7"/>
      <c r="I734" s="6"/>
    </row>
    <row r="735" spans="1:9" ht="12.75" customHeight="1" x14ac:dyDescent="0.25">
      <c r="A735" s="6"/>
      <c r="B735" s="6"/>
      <c r="C735" s="6"/>
      <c r="D735" s="44"/>
      <c r="E735" s="6"/>
      <c r="F735" s="6"/>
      <c r="G735" s="6"/>
      <c r="H735" s="7"/>
      <c r="I735" s="6"/>
    </row>
    <row r="736" spans="1:9" ht="12.75" customHeight="1" x14ac:dyDescent="0.25">
      <c r="A736" s="6"/>
      <c r="B736" s="6"/>
      <c r="C736" s="6"/>
      <c r="D736" s="44"/>
      <c r="E736" s="6"/>
      <c r="F736" s="6"/>
      <c r="G736" s="6"/>
      <c r="H736" s="7"/>
      <c r="I736" s="6"/>
    </row>
    <row r="737" spans="1:9" ht="12.75" customHeight="1" x14ac:dyDescent="0.25">
      <c r="A737" s="6"/>
      <c r="B737" s="6"/>
      <c r="C737" s="6"/>
      <c r="D737" s="44"/>
      <c r="E737" s="6"/>
      <c r="F737" s="6"/>
      <c r="G737" s="6"/>
      <c r="H737" s="7"/>
      <c r="I737" s="6"/>
    </row>
    <row r="738" spans="1:9" ht="12.75" customHeight="1" x14ac:dyDescent="0.25">
      <c r="A738" s="6"/>
      <c r="B738" s="6"/>
      <c r="C738" s="6"/>
      <c r="D738" s="44"/>
      <c r="E738" s="6"/>
      <c r="F738" s="6"/>
      <c r="G738" s="6"/>
      <c r="H738" s="7"/>
      <c r="I738" s="6"/>
    </row>
    <row r="739" spans="1:9" ht="12.75" customHeight="1" x14ac:dyDescent="0.25">
      <c r="A739" s="6"/>
      <c r="B739" s="6"/>
      <c r="C739" s="6"/>
      <c r="D739" s="44"/>
      <c r="E739" s="6"/>
      <c r="F739" s="6"/>
      <c r="G739" s="6"/>
      <c r="H739" s="7"/>
      <c r="I739" s="6"/>
    </row>
    <row r="740" spans="1:9" ht="12.75" customHeight="1" x14ac:dyDescent="0.25">
      <c r="A740" s="6"/>
      <c r="B740" s="6"/>
      <c r="C740" s="6"/>
      <c r="D740" s="44"/>
      <c r="E740" s="6"/>
      <c r="F740" s="6"/>
      <c r="G740" s="6"/>
      <c r="H740" s="7"/>
      <c r="I740" s="6"/>
    </row>
    <row r="741" spans="1:9" ht="12.75" customHeight="1" x14ac:dyDescent="0.25">
      <c r="A741" s="6"/>
      <c r="B741" s="6"/>
      <c r="C741" s="6"/>
      <c r="D741" s="44"/>
      <c r="E741" s="6"/>
      <c r="F741" s="6"/>
      <c r="G741" s="6"/>
      <c r="H741" s="7"/>
      <c r="I741" s="6"/>
    </row>
    <row r="742" spans="1:9" ht="12.75" customHeight="1" x14ac:dyDescent="0.25">
      <c r="A742" s="6"/>
      <c r="B742" s="6"/>
      <c r="C742" s="6"/>
      <c r="D742" s="44"/>
      <c r="E742" s="6"/>
      <c r="F742" s="6"/>
      <c r="G742" s="6"/>
      <c r="H742" s="7"/>
      <c r="I742" s="6"/>
    </row>
    <row r="743" spans="1:9" ht="12.75" customHeight="1" x14ac:dyDescent="0.25">
      <c r="A743" s="6"/>
      <c r="B743" s="6"/>
      <c r="C743" s="6"/>
      <c r="D743" s="44"/>
      <c r="E743" s="6"/>
      <c r="F743" s="6"/>
      <c r="G743" s="6"/>
      <c r="H743" s="7"/>
      <c r="I743" s="6"/>
    </row>
    <row r="744" spans="1:9" ht="12.75" customHeight="1" x14ac:dyDescent="0.25">
      <c r="A744" s="6"/>
      <c r="B744" s="6"/>
      <c r="C744" s="6"/>
      <c r="D744" s="44"/>
      <c r="E744" s="6"/>
      <c r="F744" s="6"/>
      <c r="G744" s="6"/>
      <c r="H744" s="7"/>
      <c r="I744" s="6"/>
    </row>
    <row r="745" spans="1:9" ht="12.75" customHeight="1" x14ac:dyDescent="0.25">
      <c r="A745" s="6"/>
      <c r="B745" s="6"/>
      <c r="C745" s="6"/>
      <c r="D745" s="44"/>
      <c r="E745" s="6"/>
      <c r="F745" s="6"/>
      <c r="G745" s="6"/>
      <c r="H745" s="7"/>
      <c r="I745" s="6"/>
    </row>
    <row r="746" spans="1:9" ht="12.75" customHeight="1" x14ac:dyDescent="0.25">
      <c r="A746" s="6"/>
      <c r="B746" s="6"/>
      <c r="C746" s="6"/>
      <c r="D746" s="44"/>
      <c r="E746" s="6"/>
      <c r="F746" s="6"/>
      <c r="G746" s="6"/>
      <c r="H746" s="7"/>
      <c r="I746" s="6"/>
    </row>
    <row r="747" spans="1:9" ht="12.75" customHeight="1" x14ac:dyDescent="0.25">
      <c r="A747" s="6"/>
      <c r="B747" s="6"/>
      <c r="C747" s="6"/>
      <c r="D747" s="44"/>
      <c r="E747" s="6"/>
      <c r="F747" s="6"/>
      <c r="G747" s="6"/>
      <c r="H747" s="7"/>
      <c r="I747" s="6"/>
    </row>
    <row r="748" spans="1:9" ht="12.75" customHeight="1" x14ac:dyDescent="0.25">
      <c r="A748" s="6"/>
      <c r="B748" s="6"/>
      <c r="C748" s="6"/>
      <c r="D748" s="44"/>
      <c r="E748" s="6"/>
      <c r="F748" s="6"/>
      <c r="G748" s="6"/>
      <c r="H748" s="7"/>
      <c r="I748" s="6"/>
    </row>
    <row r="749" spans="1:9" ht="12.75" customHeight="1" x14ac:dyDescent="0.25">
      <c r="A749" s="6"/>
      <c r="B749" s="6"/>
      <c r="C749" s="6"/>
      <c r="D749" s="44"/>
      <c r="E749" s="6"/>
      <c r="F749" s="6"/>
      <c r="G749" s="6"/>
      <c r="H749" s="7"/>
      <c r="I749" s="6"/>
    </row>
    <row r="750" spans="1:9" ht="12.75" customHeight="1" x14ac:dyDescent="0.25">
      <c r="A750" s="6"/>
      <c r="B750" s="6"/>
      <c r="C750" s="6"/>
      <c r="D750" s="44"/>
      <c r="E750" s="6"/>
      <c r="F750" s="6"/>
      <c r="G750" s="6"/>
      <c r="H750" s="7"/>
      <c r="I750" s="6"/>
    </row>
    <row r="751" spans="1:9" ht="12.75" customHeight="1" x14ac:dyDescent="0.25">
      <c r="A751" s="6"/>
      <c r="B751" s="6"/>
      <c r="C751" s="6"/>
      <c r="D751" s="44"/>
      <c r="E751" s="6"/>
      <c r="F751" s="6"/>
      <c r="G751" s="6"/>
      <c r="H751" s="7"/>
      <c r="I751" s="6"/>
    </row>
    <row r="752" spans="1:9" ht="12.75" customHeight="1" x14ac:dyDescent="0.25">
      <c r="A752" s="6"/>
      <c r="B752" s="6"/>
      <c r="C752" s="6"/>
      <c r="D752" s="44"/>
      <c r="E752" s="6"/>
      <c r="F752" s="6"/>
      <c r="G752" s="6"/>
      <c r="H752" s="7"/>
      <c r="I752" s="6"/>
    </row>
    <row r="753" spans="1:9" ht="12.75" customHeight="1" x14ac:dyDescent="0.25">
      <c r="A753" s="6"/>
      <c r="B753" s="6"/>
      <c r="C753" s="6"/>
      <c r="D753" s="44"/>
      <c r="E753" s="6"/>
      <c r="F753" s="6"/>
      <c r="G753" s="6"/>
      <c r="H753" s="7"/>
      <c r="I753" s="6"/>
    </row>
    <row r="754" spans="1:9" ht="12.75" customHeight="1" x14ac:dyDescent="0.25">
      <c r="A754" s="6"/>
      <c r="B754" s="6"/>
      <c r="C754" s="6"/>
      <c r="D754" s="44"/>
      <c r="E754" s="6"/>
      <c r="F754" s="6"/>
      <c r="G754" s="6"/>
      <c r="H754" s="7"/>
      <c r="I754" s="6"/>
    </row>
    <row r="755" spans="1:9" ht="12.75" customHeight="1" x14ac:dyDescent="0.25">
      <c r="A755" s="6"/>
      <c r="B755" s="6"/>
      <c r="C755" s="6"/>
      <c r="D755" s="44"/>
      <c r="E755" s="6"/>
      <c r="F755" s="6"/>
      <c r="G755" s="6"/>
      <c r="H755" s="7"/>
      <c r="I755" s="6"/>
    </row>
    <row r="756" spans="1:9" ht="12.75" customHeight="1" x14ac:dyDescent="0.25">
      <c r="A756" s="6"/>
      <c r="B756" s="6"/>
      <c r="C756" s="6"/>
      <c r="D756" s="44"/>
      <c r="E756" s="6"/>
      <c r="F756" s="6"/>
      <c r="G756" s="6"/>
      <c r="H756" s="7"/>
      <c r="I756" s="6"/>
    </row>
    <row r="757" spans="1:9" ht="12.75" customHeight="1" x14ac:dyDescent="0.25">
      <c r="A757" s="6"/>
      <c r="B757" s="6"/>
      <c r="C757" s="6"/>
      <c r="D757" s="44"/>
      <c r="E757" s="6"/>
      <c r="F757" s="6"/>
      <c r="G757" s="6"/>
      <c r="H757" s="7"/>
      <c r="I757" s="6"/>
    </row>
    <row r="758" spans="1:9" ht="12.75" customHeight="1" x14ac:dyDescent="0.25">
      <c r="A758" s="6"/>
      <c r="B758" s="6"/>
      <c r="C758" s="6"/>
      <c r="D758" s="44"/>
      <c r="E758" s="6"/>
      <c r="F758" s="6"/>
      <c r="G758" s="6"/>
      <c r="H758" s="7"/>
      <c r="I758" s="6"/>
    </row>
    <row r="759" spans="1:9" ht="12.75" customHeight="1" x14ac:dyDescent="0.25">
      <c r="A759" s="6"/>
      <c r="B759" s="6"/>
      <c r="C759" s="6"/>
      <c r="D759" s="44"/>
      <c r="E759" s="6"/>
      <c r="F759" s="6"/>
      <c r="G759" s="6"/>
      <c r="H759" s="7"/>
      <c r="I759" s="6"/>
    </row>
    <row r="760" spans="1:9" ht="12.75" customHeight="1" x14ac:dyDescent="0.25">
      <c r="A760" s="6"/>
      <c r="B760" s="6"/>
      <c r="C760" s="6"/>
      <c r="D760" s="44"/>
      <c r="E760" s="6"/>
      <c r="F760" s="6"/>
      <c r="G760" s="6"/>
      <c r="H760" s="7"/>
      <c r="I760" s="6"/>
    </row>
    <row r="761" spans="1:9" ht="12.75" customHeight="1" x14ac:dyDescent="0.25">
      <c r="A761" s="6"/>
      <c r="B761" s="6"/>
      <c r="C761" s="6"/>
      <c r="D761" s="44"/>
      <c r="E761" s="6"/>
      <c r="F761" s="6"/>
      <c r="G761" s="6"/>
      <c r="H761" s="7"/>
      <c r="I761" s="6"/>
    </row>
    <row r="762" spans="1:9" ht="12.75" customHeight="1" x14ac:dyDescent="0.25">
      <c r="A762" s="6"/>
      <c r="B762" s="6"/>
      <c r="C762" s="6"/>
      <c r="D762" s="44"/>
      <c r="E762" s="6"/>
      <c r="F762" s="6"/>
      <c r="G762" s="6"/>
      <c r="H762" s="7"/>
      <c r="I762" s="6"/>
    </row>
    <row r="763" spans="1:9" ht="12.75" customHeight="1" x14ac:dyDescent="0.25">
      <c r="A763" s="6"/>
      <c r="B763" s="6"/>
      <c r="C763" s="6"/>
      <c r="D763" s="44"/>
      <c r="E763" s="6"/>
      <c r="F763" s="6"/>
      <c r="G763" s="6"/>
      <c r="H763" s="7"/>
      <c r="I763" s="6"/>
    </row>
    <row r="764" spans="1:9" ht="12.75" customHeight="1" x14ac:dyDescent="0.25">
      <c r="A764" s="6"/>
      <c r="B764" s="6"/>
      <c r="C764" s="6"/>
      <c r="D764" s="44"/>
      <c r="E764" s="6"/>
      <c r="F764" s="6"/>
      <c r="G764" s="6"/>
      <c r="H764" s="7"/>
      <c r="I764" s="6"/>
    </row>
    <row r="765" spans="1:9" ht="12.75" customHeight="1" x14ac:dyDescent="0.25">
      <c r="A765" s="6"/>
      <c r="B765" s="6"/>
      <c r="C765" s="6"/>
      <c r="D765" s="44"/>
      <c r="E765" s="6"/>
      <c r="F765" s="6"/>
      <c r="G765" s="6"/>
      <c r="H765" s="7"/>
      <c r="I765" s="6"/>
    </row>
    <row r="766" spans="1:9" ht="12.75" customHeight="1" x14ac:dyDescent="0.25">
      <c r="A766" s="6"/>
      <c r="B766" s="6"/>
      <c r="C766" s="6"/>
      <c r="D766" s="44"/>
      <c r="E766" s="6"/>
      <c r="F766" s="6"/>
      <c r="G766" s="6"/>
      <c r="H766" s="7"/>
      <c r="I766" s="6"/>
    </row>
    <row r="767" spans="1:9" ht="12.75" customHeight="1" x14ac:dyDescent="0.25">
      <c r="A767" s="6"/>
      <c r="B767" s="6"/>
      <c r="C767" s="6"/>
      <c r="D767" s="44"/>
      <c r="E767" s="6"/>
      <c r="F767" s="6"/>
      <c r="G767" s="6"/>
      <c r="H767" s="7"/>
      <c r="I767" s="6"/>
    </row>
    <row r="768" spans="1:9" ht="12.75" customHeight="1" x14ac:dyDescent="0.25">
      <c r="A768" s="6"/>
      <c r="B768" s="6"/>
      <c r="C768" s="6"/>
      <c r="D768" s="44"/>
      <c r="E768" s="6"/>
      <c r="F768" s="6"/>
      <c r="G768" s="6"/>
      <c r="H768" s="7"/>
      <c r="I768" s="6"/>
    </row>
    <row r="769" spans="1:9" ht="12.75" customHeight="1" x14ac:dyDescent="0.25">
      <c r="A769" s="6"/>
      <c r="B769" s="6"/>
      <c r="C769" s="6"/>
      <c r="D769" s="44"/>
      <c r="E769" s="6"/>
      <c r="F769" s="6"/>
      <c r="G769" s="6"/>
      <c r="H769" s="7"/>
      <c r="I769" s="6"/>
    </row>
    <row r="770" spans="1:9" ht="12.75" customHeight="1" x14ac:dyDescent="0.25">
      <c r="A770" s="6"/>
      <c r="B770" s="6"/>
      <c r="C770" s="6"/>
      <c r="D770" s="44"/>
      <c r="E770" s="6"/>
      <c r="F770" s="6"/>
      <c r="G770" s="6"/>
      <c r="H770" s="7"/>
      <c r="I770" s="6"/>
    </row>
    <row r="771" spans="1:9" ht="12.75" customHeight="1" x14ac:dyDescent="0.25">
      <c r="A771" s="6"/>
      <c r="B771" s="6"/>
      <c r="C771" s="6"/>
      <c r="D771" s="44"/>
      <c r="E771" s="6"/>
      <c r="F771" s="6"/>
      <c r="G771" s="6"/>
      <c r="H771" s="7"/>
      <c r="I771" s="6"/>
    </row>
    <row r="772" spans="1:9" ht="12.75" customHeight="1" x14ac:dyDescent="0.25">
      <c r="A772" s="6"/>
      <c r="B772" s="6"/>
      <c r="C772" s="6"/>
      <c r="D772" s="44"/>
      <c r="E772" s="6"/>
      <c r="F772" s="6"/>
      <c r="G772" s="6"/>
      <c r="H772" s="7"/>
      <c r="I772" s="6"/>
    </row>
    <row r="773" spans="1:9" ht="12.75" customHeight="1" x14ac:dyDescent="0.25">
      <c r="A773" s="6"/>
      <c r="B773" s="6"/>
      <c r="C773" s="6"/>
      <c r="D773" s="44"/>
      <c r="E773" s="6"/>
      <c r="F773" s="6"/>
      <c r="G773" s="6"/>
      <c r="H773" s="7"/>
      <c r="I773" s="6"/>
    </row>
    <row r="774" spans="1:9" ht="12.75" customHeight="1" x14ac:dyDescent="0.25">
      <c r="A774" s="6"/>
      <c r="B774" s="6"/>
      <c r="C774" s="6"/>
      <c r="D774" s="44"/>
      <c r="E774" s="6"/>
      <c r="F774" s="6"/>
      <c r="G774" s="6"/>
      <c r="H774" s="7"/>
      <c r="I774" s="6"/>
    </row>
    <row r="775" spans="1:9" ht="12.75" customHeight="1" x14ac:dyDescent="0.25">
      <c r="A775" s="6"/>
      <c r="B775" s="6"/>
      <c r="C775" s="6"/>
      <c r="D775" s="44"/>
      <c r="E775" s="6"/>
      <c r="F775" s="6"/>
      <c r="G775" s="6"/>
      <c r="H775" s="7"/>
      <c r="I775" s="6"/>
    </row>
    <row r="776" spans="1:9" ht="12.75" customHeight="1" x14ac:dyDescent="0.25">
      <c r="A776" s="6"/>
      <c r="B776" s="6"/>
      <c r="C776" s="6"/>
      <c r="D776" s="44"/>
      <c r="E776" s="6"/>
      <c r="F776" s="6"/>
      <c r="G776" s="6"/>
      <c r="H776" s="7"/>
      <c r="I776" s="6"/>
    </row>
    <row r="777" spans="1:9" ht="12.75" customHeight="1" x14ac:dyDescent="0.25">
      <c r="A777" s="6"/>
      <c r="B777" s="6"/>
      <c r="C777" s="6"/>
      <c r="D777" s="44"/>
      <c r="E777" s="6"/>
      <c r="F777" s="6"/>
      <c r="G777" s="6"/>
      <c r="H777" s="7"/>
      <c r="I777" s="6"/>
    </row>
    <row r="778" spans="1:9" ht="12.75" customHeight="1" x14ac:dyDescent="0.25">
      <c r="A778" s="6"/>
      <c r="B778" s="6"/>
      <c r="C778" s="6"/>
      <c r="D778" s="44"/>
      <c r="E778" s="6"/>
      <c r="F778" s="6"/>
      <c r="G778" s="6"/>
      <c r="H778" s="7"/>
      <c r="I778" s="6"/>
    </row>
    <row r="779" spans="1:9" ht="12.75" customHeight="1" x14ac:dyDescent="0.25">
      <c r="A779" s="6"/>
      <c r="B779" s="6"/>
      <c r="C779" s="6"/>
      <c r="D779" s="44"/>
      <c r="E779" s="6"/>
      <c r="F779" s="6"/>
      <c r="G779" s="6"/>
      <c r="H779" s="7"/>
      <c r="I779" s="6"/>
    </row>
    <row r="780" spans="1:9" ht="12.75" customHeight="1" x14ac:dyDescent="0.25">
      <c r="A780" s="6"/>
      <c r="B780" s="6"/>
      <c r="C780" s="6"/>
      <c r="D780" s="44"/>
      <c r="E780" s="6"/>
      <c r="F780" s="6"/>
      <c r="G780" s="6"/>
      <c r="H780" s="7"/>
      <c r="I780" s="6"/>
    </row>
    <row r="781" spans="1:9" ht="12.75" customHeight="1" x14ac:dyDescent="0.25">
      <c r="A781" s="6"/>
      <c r="B781" s="6"/>
      <c r="C781" s="6"/>
      <c r="D781" s="44"/>
      <c r="E781" s="6"/>
      <c r="F781" s="6"/>
      <c r="G781" s="6"/>
      <c r="H781" s="7"/>
      <c r="I781" s="6"/>
    </row>
    <row r="782" spans="1:9" ht="12.75" customHeight="1" x14ac:dyDescent="0.25">
      <c r="A782" s="6"/>
      <c r="B782" s="6"/>
      <c r="C782" s="6"/>
      <c r="D782" s="44"/>
      <c r="E782" s="6"/>
      <c r="F782" s="6"/>
      <c r="G782" s="6"/>
      <c r="H782" s="7"/>
      <c r="I782" s="6"/>
    </row>
    <row r="783" spans="1:9" ht="12.75" customHeight="1" x14ac:dyDescent="0.25">
      <c r="A783" s="6"/>
      <c r="B783" s="6"/>
      <c r="C783" s="6"/>
      <c r="D783" s="44"/>
      <c r="E783" s="6"/>
      <c r="F783" s="6"/>
      <c r="G783" s="6"/>
      <c r="H783" s="7"/>
      <c r="I783" s="6"/>
    </row>
    <row r="784" spans="1:9" ht="12.75" customHeight="1" x14ac:dyDescent="0.25">
      <c r="A784" s="6"/>
      <c r="B784" s="6"/>
      <c r="C784" s="6"/>
      <c r="D784" s="44"/>
      <c r="E784" s="6"/>
      <c r="F784" s="6"/>
      <c r="G784" s="6"/>
      <c r="H784" s="7"/>
      <c r="I784" s="6"/>
    </row>
    <row r="785" spans="1:9" ht="12.75" customHeight="1" x14ac:dyDescent="0.25">
      <c r="A785" s="6"/>
      <c r="B785" s="6"/>
      <c r="C785" s="6"/>
      <c r="D785" s="44"/>
      <c r="E785" s="6"/>
      <c r="F785" s="6"/>
      <c r="G785" s="6"/>
      <c r="H785" s="7"/>
      <c r="I785" s="6"/>
    </row>
    <row r="786" spans="1:9" ht="12.75" customHeight="1" x14ac:dyDescent="0.25">
      <c r="A786" s="6"/>
      <c r="B786" s="6"/>
      <c r="C786" s="6"/>
      <c r="D786" s="44"/>
      <c r="E786" s="6"/>
      <c r="F786" s="6"/>
      <c r="G786" s="6"/>
      <c r="H786" s="7"/>
      <c r="I786" s="6"/>
    </row>
    <row r="787" spans="1:9" ht="12.75" customHeight="1" x14ac:dyDescent="0.25">
      <c r="A787" s="6"/>
      <c r="B787" s="6"/>
      <c r="C787" s="6"/>
      <c r="D787" s="44"/>
      <c r="E787" s="6"/>
      <c r="F787" s="6"/>
      <c r="G787" s="6"/>
      <c r="H787" s="7"/>
      <c r="I787" s="6"/>
    </row>
    <row r="788" spans="1:9" ht="12.75" customHeight="1" x14ac:dyDescent="0.25">
      <c r="A788" s="6"/>
      <c r="B788" s="6"/>
      <c r="C788" s="6"/>
      <c r="D788" s="44"/>
      <c r="E788" s="6"/>
      <c r="F788" s="6"/>
      <c r="G788" s="6"/>
      <c r="H788" s="7"/>
      <c r="I788" s="6"/>
    </row>
    <row r="789" spans="1:9" ht="12.75" customHeight="1" x14ac:dyDescent="0.25">
      <c r="A789" s="6"/>
      <c r="B789" s="6"/>
      <c r="C789" s="6"/>
      <c r="D789" s="44"/>
      <c r="E789" s="6"/>
      <c r="F789" s="6"/>
      <c r="G789" s="6"/>
      <c r="H789" s="7"/>
      <c r="I789" s="6"/>
    </row>
    <row r="790" spans="1:9" ht="12.75" customHeight="1" x14ac:dyDescent="0.25">
      <c r="A790" s="6"/>
      <c r="B790" s="6"/>
      <c r="C790" s="6"/>
      <c r="D790" s="44"/>
      <c r="E790" s="6"/>
      <c r="F790" s="6"/>
      <c r="G790" s="6"/>
      <c r="H790" s="7"/>
      <c r="I790" s="6"/>
    </row>
    <row r="791" spans="1:9" ht="12.75" customHeight="1" x14ac:dyDescent="0.25">
      <c r="A791" s="6"/>
      <c r="B791" s="6"/>
      <c r="C791" s="6"/>
      <c r="D791" s="44"/>
      <c r="E791" s="6"/>
      <c r="F791" s="6"/>
      <c r="G791" s="6"/>
      <c r="H791" s="7"/>
      <c r="I791" s="6"/>
    </row>
    <row r="792" spans="1:9" ht="12.75" customHeight="1" x14ac:dyDescent="0.25">
      <c r="A792" s="6"/>
      <c r="B792" s="6"/>
      <c r="C792" s="6"/>
      <c r="D792" s="44"/>
      <c r="E792" s="6"/>
      <c r="F792" s="6"/>
      <c r="G792" s="6"/>
      <c r="H792" s="7"/>
      <c r="I792" s="6"/>
    </row>
    <row r="793" spans="1:9" ht="12.75" customHeight="1" x14ac:dyDescent="0.25">
      <c r="A793" s="6"/>
      <c r="B793" s="6"/>
      <c r="C793" s="6"/>
      <c r="D793" s="44"/>
      <c r="E793" s="6"/>
      <c r="F793" s="6"/>
      <c r="G793" s="6"/>
      <c r="H793" s="7"/>
      <c r="I793" s="6"/>
    </row>
    <row r="794" spans="1:9" ht="12.75" customHeight="1" x14ac:dyDescent="0.25">
      <c r="A794" s="6"/>
      <c r="B794" s="6"/>
      <c r="C794" s="6"/>
      <c r="D794" s="44"/>
      <c r="E794" s="6"/>
      <c r="F794" s="6"/>
      <c r="G794" s="6"/>
      <c r="H794" s="7"/>
      <c r="I794" s="6"/>
    </row>
    <row r="795" spans="1:9" ht="12.75" customHeight="1" x14ac:dyDescent="0.25">
      <c r="A795" s="6"/>
      <c r="B795" s="6"/>
      <c r="C795" s="6"/>
      <c r="D795" s="44"/>
      <c r="E795" s="6"/>
      <c r="F795" s="6"/>
      <c r="G795" s="6"/>
      <c r="H795" s="7"/>
      <c r="I795" s="6"/>
    </row>
    <row r="796" spans="1:9" ht="12.75" customHeight="1" x14ac:dyDescent="0.25">
      <c r="A796" s="6"/>
      <c r="B796" s="6"/>
      <c r="C796" s="6"/>
      <c r="D796" s="44"/>
      <c r="E796" s="6"/>
      <c r="F796" s="6"/>
      <c r="G796" s="6"/>
      <c r="H796" s="7"/>
      <c r="I796" s="6"/>
    </row>
    <row r="797" spans="1:9" ht="12.75" customHeight="1" x14ac:dyDescent="0.25">
      <c r="A797" s="6"/>
      <c r="B797" s="6"/>
      <c r="C797" s="6"/>
      <c r="D797" s="44"/>
      <c r="E797" s="6"/>
      <c r="F797" s="6"/>
      <c r="G797" s="6"/>
      <c r="H797" s="7"/>
      <c r="I797" s="6"/>
    </row>
    <row r="798" spans="1:9" ht="12.75" customHeight="1" x14ac:dyDescent="0.25">
      <c r="A798" s="6"/>
      <c r="B798" s="6"/>
      <c r="C798" s="6"/>
      <c r="D798" s="44"/>
      <c r="E798" s="6"/>
      <c r="F798" s="6"/>
      <c r="G798" s="6"/>
      <c r="H798" s="7"/>
      <c r="I798" s="6"/>
    </row>
    <row r="799" spans="1:9" ht="12.75" customHeight="1" x14ac:dyDescent="0.25">
      <c r="A799" s="6"/>
      <c r="B799" s="6"/>
      <c r="C799" s="6"/>
      <c r="D799" s="44"/>
      <c r="E799" s="6"/>
      <c r="F799" s="6"/>
      <c r="G799" s="6"/>
      <c r="H799" s="7"/>
      <c r="I799" s="6"/>
    </row>
    <row r="800" spans="1:9" ht="12.75" customHeight="1" x14ac:dyDescent="0.25">
      <c r="A800" s="6"/>
      <c r="B800" s="6"/>
      <c r="C800" s="6"/>
      <c r="D800" s="44"/>
      <c r="E800" s="6"/>
      <c r="F800" s="6"/>
      <c r="G800" s="6"/>
      <c r="H800" s="7"/>
      <c r="I800" s="6"/>
    </row>
    <row r="801" spans="1:9" ht="12.75" customHeight="1" x14ac:dyDescent="0.25">
      <c r="A801" s="6"/>
      <c r="B801" s="6"/>
      <c r="C801" s="6"/>
      <c r="D801" s="44"/>
      <c r="E801" s="6"/>
      <c r="F801" s="6"/>
      <c r="G801" s="6"/>
      <c r="H801" s="7"/>
      <c r="I801" s="6"/>
    </row>
    <row r="802" spans="1:9" ht="12.75" customHeight="1" x14ac:dyDescent="0.25">
      <c r="A802" s="6"/>
      <c r="B802" s="6"/>
      <c r="C802" s="6"/>
      <c r="D802" s="44"/>
      <c r="E802" s="6"/>
      <c r="F802" s="6"/>
      <c r="G802" s="6"/>
      <c r="H802" s="7"/>
      <c r="I802" s="6"/>
    </row>
    <row r="803" spans="1:9" ht="12.75" customHeight="1" x14ac:dyDescent="0.25">
      <c r="A803" s="6"/>
      <c r="B803" s="6"/>
      <c r="C803" s="6"/>
      <c r="D803" s="44"/>
      <c r="E803" s="6"/>
      <c r="F803" s="6"/>
      <c r="G803" s="6"/>
      <c r="H803" s="7"/>
      <c r="I803" s="6"/>
    </row>
    <row r="804" spans="1:9" ht="12.75" customHeight="1" x14ac:dyDescent="0.25">
      <c r="A804" s="6"/>
      <c r="B804" s="6"/>
      <c r="C804" s="6"/>
      <c r="D804" s="44"/>
      <c r="E804" s="6"/>
      <c r="F804" s="6"/>
      <c r="G804" s="6"/>
      <c r="H804" s="7"/>
      <c r="I804" s="6"/>
    </row>
    <row r="805" spans="1:9" ht="12.75" customHeight="1" x14ac:dyDescent="0.25">
      <c r="A805" s="6"/>
      <c r="B805" s="6"/>
      <c r="C805" s="6"/>
      <c r="D805" s="44"/>
      <c r="E805" s="6"/>
      <c r="F805" s="6"/>
      <c r="G805" s="6"/>
      <c r="H805" s="7"/>
      <c r="I805" s="6"/>
    </row>
    <row r="806" spans="1:9" ht="12.75" customHeight="1" x14ac:dyDescent="0.25">
      <c r="A806" s="6"/>
      <c r="B806" s="6"/>
      <c r="C806" s="6"/>
      <c r="D806" s="44"/>
      <c r="E806" s="6"/>
      <c r="F806" s="6"/>
      <c r="G806" s="6"/>
      <c r="H806" s="7"/>
      <c r="I806" s="6"/>
    </row>
    <row r="807" spans="1:9" ht="12.75" customHeight="1" x14ac:dyDescent="0.25">
      <c r="A807" s="6"/>
      <c r="B807" s="6"/>
      <c r="C807" s="6"/>
      <c r="D807" s="44"/>
      <c r="E807" s="6"/>
      <c r="F807" s="6"/>
      <c r="G807" s="6"/>
      <c r="H807" s="7"/>
      <c r="I807" s="6"/>
    </row>
    <row r="808" spans="1:9" ht="12.75" customHeight="1" x14ac:dyDescent="0.25">
      <c r="A808" s="6"/>
      <c r="B808" s="6"/>
      <c r="C808" s="6"/>
      <c r="D808" s="44"/>
      <c r="E808" s="6"/>
      <c r="F808" s="6"/>
      <c r="G808" s="6"/>
      <c r="H808" s="7"/>
      <c r="I808" s="6"/>
    </row>
    <row r="809" spans="1:9" ht="12.75" customHeight="1" x14ac:dyDescent="0.25">
      <c r="A809" s="6"/>
      <c r="B809" s="6"/>
      <c r="C809" s="6"/>
      <c r="D809" s="44"/>
      <c r="E809" s="6"/>
      <c r="F809" s="6"/>
      <c r="G809" s="6"/>
      <c r="H809" s="7"/>
      <c r="I809" s="6"/>
    </row>
    <row r="810" spans="1:9" ht="12.75" customHeight="1" x14ac:dyDescent="0.25">
      <c r="A810" s="6"/>
      <c r="B810" s="6"/>
      <c r="C810" s="6"/>
      <c r="D810" s="44"/>
      <c r="E810" s="6"/>
      <c r="F810" s="6"/>
      <c r="G810" s="6"/>
      <c r="H810" s="7"/>
      <c r="I810" s="6"/>
    </row>
    <row r="811" spans="1:9" ht="12.75" customHeight="1" x14ac:dyDescent="0.25">
      <c r="A811" s="6"/>
      <c r="B811" s="6"/>
      <c r="C811" s="6"/>
      <c r="D811" s="44"/>
      <c r="E811" s="6"/>
      <c r="F811" s="6"/>
      <c r="G811" s="6"/>
      <c r="H811" s="7"/>
      <c r="I811" s="6"/>
    </row>
    <row r="812" spans="1:9" ht="12.75" customHeight="1" x14ac:dyDescent="0.25">
      <c r="A812" s="6"/>
      <c r="B812" s="6"/>
      <c r="C812" s="6"/>
      <c r="D812" s="44"/>
      <c r="E812" s="6"/>
      <c r="F812" s="6"/>
      <c r="G812" s="6"/>
      <c r="H812" s="7"/>
      <c r="I812" s="6"/>
    </row>
    <row r="813" spans="1:9" ht="12.75" customHeight="1" x14ac:dyDescent="0.25">
      <c r="A813" s="6"/>
      <c r="B813" s="6"/>
      <c r="C813" s="6"/>
      <c r="D813" s="44"/>
      <c r="E813" s="6"/>
      <c r="F813" s="6"/>
      <c r="G813" s="6"/>
      <c r="H813" s="7"/>
      <c r="I813" s="6"/>
    </row>
    <row r="814" spans="1:9" ht="12.75" customHeight="1" x14ac:dyDescent="0.25">
      <c r="A814" s="6"/>
      <c r="B814" s="6"/>
      <c r="C814" s="6"/>
      <c r="D814" s="44"/>
      <c r="E814" s="6"/>
      <c r="F814" s="6"/>
      <c r="G814" s="6"/>
      <c r="H814" s="7"/>
      <c r="I814" s="6"/>
    </row>
    <row r="815" spans="1:9" ht="12.75" customHeight="1" x14ac:dyDescent="0.25">
      <c r="A815" s="6"/>
      <c r="B815" s="6"/>
      <c r="C815" s="6"/>
      <c r="D815" s="44"/>
      <c r="E815" s="6"/>
      <c r="F815" s="6"/>
      <c r="G815" s="6"/>
      <c r="H815" s="7"/>
      <c r="I815" s="6"/>
    </row>
    <row r="816" spans="1:9" ht="12.75" customHeight="1" x14ac:dyDescent="0.25">
      <c r="A816" s="6"/>
      <c r="B816" s="6"/>
      <c r="C816" s="6"/>
      <c r="D816" s="44"/>
      <c r="E816" s="6"/>
      <c r="F816" s="6"/>
      <c r="G816" s="6"/>
      <c r="H816" s="7"/>
      <c r="I816" s="6"/>
    </row>
    <row r="817" spans="1:9" ht="12.75" customHeight="1" x14ac:dyDescent="0.25">
      <c r="A817" s="6"/>
      <c r="B817" s="6"/>
      <c r="C817" s="6"/>
      <c r="D817" s="44"/>
      <c r="E817" s="6"/>
      <c r="F817" s="6"/>
      <c r="G817" s="6"/>
      <c r="H817" s="7"/>
      <c r="I817" s="6"/>
    </row>
    <row r="818" spans="1:9" ht="12.75" customHeight="1" x14ac:dyDescent="0.25">
      <c r="A818" s="6"/>
      <c r="B818" s="6"/>
      <c r="C818" s="6"/>
      <c r="D818" s="44"/>
      <c r="E818" s="6"/>
      <c r="F818" s="6"/>
      <c r="G818" s="6"/>
      <c r="H818" s="7"/>
      <c r="I818" s="6"/>
    </row>
    <row r="819" spans="1:9" ht="12.75" customHeight="1" x14ac:dyDescent="0.25">
      <c r="A819" s="6"/>
      <c r="B819" s="6"/>
      <c r="C819" s="6"/>
      <c r="D819" s="44"/>
      <c r="E819" s="6"/>
      <c r="F819" s="6"/>
      <c r="G819" s="6"/>
      <c r="H819" s="7"/>
      <c r="I819" s="6"/>
    </row>
    <row r="820" spans="1:9" ht="12.75" customHeight="1" x14ac:dyDescent="0.25">
      <c r="A820" s="6"/>
      <c r="B820" s="6"/>
      <c r="C820" s="6"/>
      <c r="D820" s="44"/>
      <c r="E820" s="6"/>
      <c r="F820" s="6"/>
      <c r="G820" s="6"/>
      <c r="H820" s="7"/>
      <c r="I820" s="6"/>
    </row>
    <row r="821" spans="1:9" ht="12.75" customHeight="1" x14ac:dyDescent="0.25">
      <c r="A821" s="6"/>
      <c r="B821" s="6"/>
      <c r="C821" s="6"/>
      <c r="D821" s="44"/>
      <c r="E821" s="6"/>
      <c r="F821" s="6"/>
      <c r="G821" s="6"/>
      <c r="H821" s="7"/>
      <c r="I821" s="6"/>
    </row>
    <row r="822" spans="1:9" ht="12.75" customHeight="1" x14ac:dyDescent="0.25">
      <c r="A822" s="6"/>
      <c r="B822" s="6"/>
      <c r="C822" s="6"/>
      <c r="D822" s="44"/>
      <c r="E822" s="6"/>
      <c r="F822" s="6"/>
      <c r="G822" s="6"/>
      <c r="H822" s="7"/>
      <c r="I822" s="6"/>
    </row>
    <row r="823" spans="1:9" ht="12.75" customHeight="1" x14ac:dyDescent="0.25">
      <c r="A823" s="6"/>
      <c r="B823" s="6"/>
      <c r="C823" s="6"/>
      <c r="D823" s="44"/>
      <c r="E823" s="6"/>
      <c r="F823" s="6"/>
      <c r="G823" s="6"/>
      <c r="H823" s="7"/>
      <c r="I823" s="6"/>
    </row>
    <row r="824" spans="1:9" ht="12.75" customHeight="1" x14ac:dyDescent="0.25">
      <c r="A824" s="6"/>
      <c r="B824" s="6"/>
      <c r="C824" s="6"/>
      <c r="D824" s="44"/>
      <c r="E824" s="6"/>
      <c r="F824" s="6"/>
      <c r="G824" s="6"/>
      <c r="H824" s="7"/>
      <c r="I824" s="6"/>
    </row>
    <row r="825" spans="1:9" ht="12.75" customHeight="1" x14ac:dyDescent="0.25">
      <c r="A825" s="6"/>
      <c r="B825" s="6"/>
      <c r="C825" s="6"/>
      <c r="D825" s="44"/>
      <c r="E825" s="6"/>
      <c r="F825" s="6"/>
      <c r="G825" s="6"/>
      <c r="H825" s="7"/>
      <c r="I825" s="6"/>
    </row>
    <row r="826" spans="1:9" ht="12.75" customHeight="1" x14ac:dyDescent="0.25">
      <c r="A826" s="6"/>
      <c r="B826" s="6"/>
      <c r="C826" s="6"/>
      <c r="D826" s="44"/>
      <c r="E826" s="6"/>
      <c r="F826" s="6"/>
      <c r="G826" s="6"/>
      <c r="H826" s="7"/>
      <c r="I826" s="6"/>
    </row>
    <row r="827" spans="1:9" ht="12.75" customHeight="1" x14ac:dyDescent="0.25">
      <c r="A827" s="6"/>
      <c r="B827" s="6"/>
      <c r="C827" s="6"/>
      <c r="D827" s="44"/>
      <c r="E827" s="6"/>
      <c r="F827" s="6"/>
      <c r="G827" s="6"/>
      <c r="H827" s="7"/>
      <c r="I827" s="6"/>
    </row>
    <row r="828" spans="1:9" ht="12.75" customHeight="1" x14ac:dyDescent="0.25">
      <c r="A828" s="6"/>
      <c r="B828" s="6"/>
      <c r="C828" s="6"/>
      <c r="D828" s="44"/>
      <c r="E828" s="6"/>
      <c r="F828" s="6"/>
      <c r="G828" s="6"/>
      <c r="H828" s="7"/>
      <c r="I828" s="6"/>
    </row>
    <row r="829" spans="1:9" ht="12.75" customHeight="1" x14ac:dyDescent="0.25">
      <c r="A829" s="6"/>
      <c r="B829" s="6"/>
      <c r="C829" s="6"/>
      <c r="D829" s="44"/>
      <c r="E829" s="6"/>
      <c r="F829" s="6"/>
      <c r="G829" s="6"/>
      <c r="H829" s="7"/>
      <c r="I829" s="6"/>
    </row>
    <row r="830" spans="1:9" ht="12.75" customHeight="1" x14ac:dyDescent="0.25">
      <c r="A830" s="6"/>
      <c r="B830" s="6"/>
      <c r="C830" s="6"/>
      <c r="D830" s="44"/>
      <c r="E830" s="6"/>
      <c r="F830" s="6"/>
      <c r="G830" s="6"/>
      <c r="H830" s="7"/>
      <c r="I830" s="6"/>
    </row>
    <row r="831" spans="1:9" ht="12.75" customHeight="1" x14ac:dyDescent="0.25">
      <c r="A831" s="6"/>
      <c r="B831" s="6"/>
      <c r="C831" s="6"/>
      <c r="D831" s="44"/>
      <c r="E831" s="6"/>
      <c r="F831" s="6"/>
      <c r="G831" s="6"/>
      <c r="H831" s="7"/>
      <c r="I831" s="6"/>
    </row>
    <row r="832" spans="1:9" ht="12.75" customHeight="1" x14ac:dyDescent="0.25">
      <c r="A832" s="6"/>
      <c r="B832" s="6"/>
      <c r="C832" s="6"/>
      <c r="D832" s="44"/>
      <c r="E832" s="6"/>
      <c r="F832" s="6"/>
      <c r="G832" s="6"/>
      <c r="H832" s="7"/>
      <c r="I832" s="6"/>
    </row>
    <row r="833" spans="1:9" ht="12.75" customHeight="1" x14ac:dyDescent="0.25">
      <c r="A833" s="6"/>
      <c r="B833" s="6"/>
      <c r="C833" s="6"/>
      <c r="D833" s="44"/>
      <c r="E833" s="6"/>
      <c r="F833" s="6"/>
      <c r="G833" s="6"/>
      <c r="H833" s="7"/>
      <c r="I833" s="6"/>
    </row>
    <row r="834" spans="1:9" ht="12.75" customHeight="1" x14ac:dyDescent="0.25">
      <c r="A834" s="6"/>
      <c r="B834" s="6"/>
      <c r="C834" s="6"/>
      <c r="D834" s="44"/>
      <c r="E834" s="6"/>
      <c r="F834" s="6"/>
      <c r="G834" s="6"/>
      <c r="H834" s="7"/>
      <c r="I834" s="6"/>
    </row>
    <row r="835" spans="1:9" ht="12.75" customHeight="1" x14ac:dyDescent="0.25">
      <c r="A835" s="6"/>
      <c r="B835" s="6"/>
      <c r="C835" s="6"/>
      <c r="D835" s="44"/>
      <c r="E835" s="6"/>
      <c r="F835" s="6"/>
      <c r="G835" s="6"/>
      <c r="H835" s="7"/>
      <c r="I835" s="6"/>
    </row>
    <row r="836" spans="1:9" ht="12.75" customHeight="1" x14ac:dyDescent="0.25">
      <c r="A836" s="6"/>
      <c r="B836" s="6"/>
      <c r="C836" s="6"/>
      <c r="D836" s="44"/>
      <c r="E836" s="6"/>
      <c r="F836" s="6"/>
      <c r="G836" s="6"/>
      <c r="H836" s="7"/>
      <c r="I836" s="6"/>
    </row>
    <row r="837" spans="1:9" ht="12.75" customHeight="1" x14ac:dyDescent="0.25">
      <c r="A837" s="6"/>
      <c r="B837" s="6"/>
      <c r="C837" s="6"/>
      <c r="D837" s="44"/>
      <c r="E837" s="6"/>
      <c r="F837" s="6"/>
      <c r="G837" s="6"/>
      <c r="H837" s="7"/>
      <c r="I837" s="6"/>
    </row>
    <row r="838" spans="1:9" ht="12.75" customHeight="1" x14ac:dyDescent="0.25">
      <c r="A838" s="6"/>
      <c r="B838" s="6"/>
      <c r="C838" s="6"/>
      <c r="D838" s="44"/>
      <c r="E838" s="6"/>
      <c r="F838" s="6"/>
      <c r="G838" s="6"/>
      <c r="H838" s="7"/>
      <c r="I838" s="6"/>
    </row>
    <row r="839" spans="1:9" ht="12.75" customHeight="1" x14ac:dyDescent="0.25">
      <c r="A839" s="6"/>
      <c r="B839" s="6"/>
      <c r="C839" s="6"/>
      <c r="D839" s="44"/>
      <c r="E839" s="6"/>
      <c r="F839" s="6"/>
      <c r="G839" s="6"/>
      <c r="H839" s="7"/>
      <c r="I839" s="6"/>
    </row>
    <row r="840" spans="1:9" ht="12.75" customHeight="1" x14ac:dyDescent="0.25">
      <c r="A840" s="6"/>
      <c r="B840" s="6"/>
      <c r="C840" s="6"/>
      <c r="D840" s="44"/>
      <c r="E840" s="6"/>
      <c r="F840" s="6"/>
      <c r="G840" s="6"/>
      <c r="H840" s="7"/>
      <c r="I840" s="6"/>
    </row>
    <row r="841" spans="1:9" ht="12.75" customHeight="1" x14ac:dyDescent="0.25">
      <c r="A841" s="6"/>
      <c r="B841" s="6"/>
      <c r="C841" s="6"/>
      <c r="D841" s="44"/>
      <c r="E841" s="6"/>
      <c r="F841" s="6"/>
      <c r="G841" s="6"/>
      <c r="H841" s="7"/>
      <c r="I841" s="6"/>
    </row>
    <row r="842" spans="1:9" ht="12.75" customHeight="1" x14ac:dyDescent="0.25">
      <c r="A842" s="6"/>
      <c r="B842" s="6"/>
      <c r="C842" s="6"/>
      <c r="D842" s="44"/>
      <c r="E842" s="6"/>
      <c r="F842" s="6"/>
      <c r="G842" s="6"/>
      <c r="H842" s="7"/>
      <c r="I842" s="6"/>
    </row>
    <row r="843" spans="1:9" ht="12.75" customHeight="1" x14ac:dyDescent="0.25">
      <c r="A843" s="6"/>
      <c r="B843" s="6"/>
      <c r="C843" s="6"/>
      <c r="D843" s="44"/>
      <c r="E843" s="6"/>
      <c r="F843" s="6"/>
      <c r="G843" s="6"/>
      <c r="H843" s="7"/>
      <c r="I843" s="6"/>
    </row>
    <row r="844" spans="1:9" ht="12.75" customHeight="1" x14ac:dyDescent="0.25">
      <c r="A844" s="6"/>
      <c r="B844" s="6"/>
      <c r="C844" s="6"/>
      <c r="D844" s="44"/>
      <c r="E844" s="6"/>
      <c r="F844" s="6"/>
      <c r="G844" s="6"/>
      <c r="H844" s="7"/>
      <c r="I844" s="6"/>
    </row>
    <row r="845" spans="1:9" ht="12.75" customHeight="1" x14ac:dyDescent="0.25">
      <c r="A845" s="6"/>
      <c r="B845" s="6"/>
      <c r="C845" s="6"/>
      <c r="D845" s="44"/>
      <c r="E845" s="6"/>
      <c r="F845" s="6"/>
      <c r="G845" s="6"/>
      <c r="H845" s="7"/>
      <c r="I845" s="6"/>
    </row>
    <row r="846" spans="1:9" ht="12.75" customHeight="1" x14ac:dyDescent="0.25">
      <c r="A846" s="6"/>
      <c r="B846" s="6"/>
      <c r="C846" s="6"/>
      <c r="D846" s="44"/>
      <c r="E846" s="6"/>
      <c r="F846" s="6"/>
      <c r="G846" s="6"/>
      <c r="H846" s="7"/>
      <c r="I846" s="6"/>
    </row>
    <row r="847" spans="1:9" ht="12.75" customHeight="1" x14ac:dyDescent="0.25">
      <c r="A847" s="6"/>
      <c r="B847" s="6"/>
      <c r="C847" s="6"/>
      <c r="D847" s="44"/>
      <c r="E847" s="6"/>
      <c r="F847" s="6"/>
      <c r="G847" s="6"/>
      <c r="H847" s="7"/>
      <c r="I847" s="6"/>
    </row>
    <row r="848" spans="1:9" ht="12.75" customHeight="1" x14ac:dyDescent="0.25">
      <c r="A848" s="6"/>
      <c r="B848" s="6"/>
      <c r="C848" s="6"/>
      <c r="D848" s="44"/>
      <c r="E848" s="6"/>
      <c r="F848" s="6"/>
      <c r="G848" s="6"/>
      <c r="H848" s="7"/>
      <c r="I848" s="6"/>
    </row>
    <row r="849" spans="1:9" ht="12.75" customHeight="1" x14ac:dyDescent="0.25">
      <c r="A849" s="6"/>
      <c r="B849" s="6"/>
      <c r="C849" s="6"/>
      <c r="D849" s="44"/>
      <c r="E849" s="6"/>
      <c r="F849" s="6"/>
      <c r="G849" s="6"/>
      <c r="H849" s="7"/>
      <c r="I849" s="6"/>
    </row>
    <row r="850" spans="1:9" ht="12.75" customHeight="1" x14ac:dyDescent="0.25">
      <c r="A850" s="6"/>
      <c r="B850" s="6"/>
      <c r="C850" s="6"/>
      <c r="D850" s="44"/>
      <c r="E850" s="6"/>
      <c r="F850" s="6"/>
      <c r="G850" s="6"/>
      <c r="H850" s="7"/>
      <c r="I850" s="6"/>
    </row>
    <row r="851" spans="1:9" ht="12.75" customHeight="1" x14ac:dyDescent="0.25">
      <c r="A851" s="6"/>
      <c r="B851" s="6"/>
      <c r="C851" s="6"/>
      <c r="D851" s="44"/>
      <c r="E851" s="6"/>
      <c r="F851" s="6"/>
      <c r="G851" s="6"/>
      <c r="H851" s="7"/>
      <c r="I851" s="6"/>
    </row>
    <row r="852" spans="1:9" ht="12.75" customHeight="1" x14ac:dyDescent="0.25">
      <c r="A852" s="6"/>
      <c r="B852" s="6"/>
      <c r="C852" s="6"/>
      <c r="D852" s="44"/>
      <c r="E852" s="6"/>
      <c r="F852" s="6"/>
      <c r="G852" s="6"/>
      <c r="H852" s="7"/>
      <c r="I852" s="6"/>
    </row>
    <row r="853" spans="1:9" ht="12.75" customHeight="1" x14ac:dyDescent="0.25">
      <c r="A853" s="6"/>
      <c r="B853" s="6"/>
      <c r="C853" s="6"/>
      <c r="D853" s="44"/>
      <c r="E853" s="6"/>
      <c r="F853" s="6"/>
      <c r="G853" s="6"/>
      <c r="H853" s="7"/>
      <c r="I853" s="6"/>
    </row>
    <row r="854" spans="1:9" ht="12.75" customHeight="1" x14ac:dyDescent="0.25">
      <c r="A854" s="6"/>
      <c r="B854" s="6"/>
      <c r="C854" s="6"/>
      <c r="D854" s="44"/>
      <c r="E854" s="6"/>
      <c r="F854" s="6"/>
      <c r="G854" s="6"/>
      <c r="H854" s="7"/>
      <c r="I854" s="6"/>
    </row>
    <row r="855" spans="1:9" ht="12.75" customHeight="1" x14ac:dyDescent="0.25">
      <c r="A855" s="6"/>
      <c r="B855" s="6"/>
      <c r="C855" s="6"/>
      <c r="D855" s="44"/>
      <c r="E855" s="6"/>
      <c r="F855" s="6"/>
      <c r="G855" s="6"/>
      <c r="H855" s="7"/>
      <c r="I855" s="6"/>
    </row>
    <row r="856" spans="1:9" ht="12.75" customHeight="1" x14ac:dyDescent="0.25">
      <c r="A856" s="6"/>
      <c r="B856" s="6"/>
      <c r="C856" s="6"/>
      <c r="D856" s="44"/>
      <c r="E856" s="6"/>
      <c r="F856" s="6"/>
      <c r="G856" s="6"/>
      <c r="H856" s="7"/>
      <c r="I856" s="6"/>
    </row>
    <row r="857" spans="1:9" ht="12.75" customHeight="1" x14ac:dyDescent="0.25">
      <c r="A857" s="6"/>
      <c r="B857" s="6"/>
      <c r="C857" s="6"/>
      <c r="D857" s="44"/>
      <c r="E857" s="6"/>
      <c r="F857" s="6"/>
      <c r="G857" s="6"/>
      <c r="H857" s="7"/>
      <c r="I857" s="6"/>
    </row>
    <row r="858" spans="1:9" ht="12.75" customHeight="1" x14ac:dyDescent="0.25">
      <c r="A858" s="6"/>
      <c r="B858" s="6"/>
      <c r="C858" s="6"/>
      <c r="D858" s="44"/>
      <c r="E858" s="6"/>
      <c r="F858" s="6"/>
      <c r="G858" s="6"/>
      <c r="H858" s="7"/>
      <c r="I858" s="6"/>
    </row>
    <row r="859" spans="1:9" ht="12.75" customHeight="1" x14ac:dyDescent="0.25">
      <c r="A859" s="6"/>
      <c r="B859" s="6"/>
      <c r="C859" s="6"/>
      <c r="D859" s="44"/>
      <c r="E859" s="6"/>
      <c r="F859" s="6"/>
      <c r="G859" s="6"/>
      <c r="H859" s="7"/>
      <c r="I859" s="6"/>
    </row>
    <row r="860" spans="1:9" ht="12.75" customHeight="1" x14ac:dyDescent="0.25">
      <c r="A860" s="6"/>
      <c r="B860" s="6"/>
      <c r="C860" s="6"/>
      <c r="D860" s="44"/>
      <c r="E860" s="6"/>
      <c r="F860" s="6"/>
      <c r="G860" s="6"/>
      <c r="H860" s="7"/>
      <c r="I860" s="6"/>
    </row>
    <row r="861" spans="1:9" ht="12.75" customHeight="1" x14ac:dyDescent="0.25">
      <c r="A861" s="6"/>
      <c r="B861" s="6"/>
      <c r="C861" s="6"/>
      <c r="D861" s="44"/>
      <c r="E861" s="6"/>
      <c r="F861" s="6"/>
      <c r="G861" s="6"/>
      <c r="H861" s="7"/>
      <c r="I861" s="6"/>
    </row>
    <row r="862" spans="1:9" ht="12.75" customHeight="1" x14ac:dyDescent="0.25">
      <c r="A862" s="6"/>
      <c r="B862" s="6"/>
      <c r="C862" s="6"/>
      <c r="D862" s="44"/>
      <c r="E862" s="6"/>
      <c r="F862" s="6"/>
      <c r="G862" s="6"/>
      <c r="H862" s="7"/>
      <c r="I862" s="6"/>
    </row>
    <row r="863" spans="1:9" ht="12.75" customHeight="1" x14ac:dyDescent="0.25">
      <c r="A863" s="6"/>
      <c r="B863" s="6"/>
      <c r="C863" s="6"/>
      <c r="D863" s="44"/>
      <c r="E863" s="6"/>
      <c r="F863" s="6"/>
      <c r="G863" s="6"/>
      <c r="H863" s="7"/>
      <c r="I863" s="6"/>
    </row>
    <row r="864" spans="1:9" ht="12.75" customHeight="1" x14ac:dyDescent="0.25">
      <c r="A864" s="6"/>
      <c r="B864" s="6"/>
      <c r="C864" s="6"/>
      <c r="D864" s="44"/>
      <c r="E864" s="6"/>
      <c r="F864" s="6"/>
      <c r="G864" s="6"/>
      <c r="H864" s="7"/>
      <c r="I864" s="6"/>
    </row>
    <row r="865" spans="1:9" ht="12.75" customHeight="1" x14ac:dyDescent="0.25">
      <c r="A865" s="6"/>
      <c r="B865" s="6"/>
      <c r="C865" s="6"/>
      <c r="D865" s="44"/>
      <c r="E865" s="6"/>
      <c r="F865" s="6"/>
      <c r="G865" s="6"/>
      <c r="H865" s="7"/>
      <c r="I865" s="6"/>
    </row>
    <row r="866" spans="1:9" ht="12.75" customHeight="1" x14ac:dyDescent="0.25">
      <c r="A866" s="6"/>
      <c r="B866" s="6"/>
      <c r="C866" s="6"/>
      <c r="D866" s="44"/>
      <c r="E866" s="6"/>
      <c r="F866" s="6"/>
      <c r="G866" s="6"/>
      <c r="H866" s="7"/>
      <c r="I866" s="6"/>
    </row>
    <row r="867" spans="1:9" ht="12.75" customHeight="1" x14ac:dyDescent="0.25">
      <c r="A867" s="6"/>
      <c r="B867" s="6"/>
      <c r="C867" s="6"/>
      <c r="D867" s="44"/>
      <c r="E867" s="6"/>
      <c r="F867" s="6"/>
      <c r="G867" s="6"/>
      <c r="H867" s="7"/>
      <c r="I867" s="6"/>
    </row>
    <row r="868" spans="1:9" ht="12.75" customHeight="1" x14ac:dyDescent="0.25">
      <c r="A868" s="6"/>
      <c r="B868" s="6"/>
      <c r="C868" s="6"/>
      <c r="D868" s="44"/>
      <c r="E868" s="6"/>
      <c r="F868" s="6"/>
      <c r="G868" s="6"/>
      <c r="H868" s="7"/>
      <c r="I868" s="6"/>
    </row>
    <row r="869" spans="1:9" ht="12.75" customHeight="1" x14ac:dyDescent="0.25">
      <c r="A869" s="6"/>
      <c r="B869" s="6"/>
      <c r="C869" s="6"/>
      <c r="D869" s="44"/>
      <c r="E869" s="6"/>
      <c r="F869" s="6"/>
      <c r="G869" s="6"/>
      <c r="H869" s="7"/>
      <c r="I869" s="6"/>
    </row>
    <row r="870" spans="1:9" ht="12.75" customHeight="1" x14ac:dyDescent="0.25">
      <c r="A870" s="6"/>
      <c r="B870" s="6"/>
      <c r="C870" s="6"/>
      <c r="D870" s="44"/>
      <c r="E870" s="6"/>
      <c r="F870" s="6"/>
      <c r="G870" s="6"/>
      <c r="H870" s="7"/>
      <c r="I870" s="6"/>
    </row>
    <row r="871" spans="1:9" ht="12.75" customHeight="1" x14ac:dyDescent="0.25">
      <c r="A871" s="6"/>
      <c r="B871" s="6"/>
      <c r="C871" s="6"/>
      <c r="D871" s="44"/>
      <c r="E871" s="6"/>
      <c r="F871" s="6"/>
      <c r="G871" s="6"/>
      <c r="H871" s="7"/>
      <c r="I871" s="6"/>
    </row>
    <row r="872" spans="1:9" ht="12.75" customHeight="1" x14ac:dyDescent="0.25">
      <c r="A872" s="6"/>
      <c r="B872" s="6"/>
      <c r="C872" s="6"/>
      <c r="D872" s="44"/>
      <c r="E872" s="6"/>
      <c r="F872" s="6"/>
      <c r="G872" s="6"/>
      <c r="H872" s="7"/>
      <c r="I872" s="6"/>
    </row>
    <row r="873" spans="1:9" ht="12.75" customHeight="1" x14ac:dyDescent="0.25">
      <c r="A873" s="6"/>
      <c r="B873" s="6"/>
      <c r="C873" s="6"/>
      <c r="D873" s="44"/>
      <c r="E873" s="6"/>
      <c r="F873" s="6"/>
      <c r="G873" s="6"/>
      <c r="H873" s="7"/>
      <c r="I873" s="6"/>
    </row>
    <row r="874" spans="1:9" ht="12.75" customHeight="1" x14ac:dyDescent="0.25">
      <c r="A874" s="6"/>
      <c r="B874" s="6"/>
      <c r="C874" s="6"/>
      <c r="D874" s="44"/>
      <c r="E874" s="6"/>
      <c r="F874" s="6"/>
      <c r="G874" s="6"/>
      <c r="H874" s="7"/>
      <c r="I874" s="6"/>
    </row>
    <row r="875" spans="1:9" ht="12.75" customHeight="1" x14ac:dyDescent="0.25">
      <c r="A875" s="6"/>
      <c r="B875" s="6"/>
      <c r="C875" s="6"/>
      <c r="D875" s="44"/>
      <c r="E875" s="6"/>
      <c r="F875" s="6"/>
      <c r="G875" s="6"/>
      <c r="H875" s="7"/>
      <c r="I875" s="6"/>
    </row>
    <row r="876" spans="1:9" ht="12.75" customHeight="1" x14ac:dyDescent="0.25">
      <c r="A876" s="6"/>
      <c r="B876" s="6"/>
      <c r="C876" s="6"/>
      <c r="D876" s="44"/>
      <c r="E876" s="6"/>
      <c r="F876" s="6"/>
      <c r="G876" s="6"/>
      <c r="H876" s="7"/>
      <c r="I876" s="6"/>
    </row>
    <row r="877" spans="1:9" ht="12.75" customHeight="1" x14ac:dyDescent="0.25">
      <c r="A877" s="6"/>
      <c r="B877" s="6"/>
      <c r="C877" s="6"/>
      <c r="D877" s="44"/>
      <c r="E877" s="6"/>
      <c r="F877" s="6"/>
      <c r="G877" s="6"/>
      <c r="H877" s="7"/>
      <c r="I877" s="6"/>
    </row>
    <row r="878" spans="1:9" ht="12.75" customHeight="1" x14ac:dyDescent="0.25">
      <c r="A878" s="6"/>
      <c r="B878" s="6"/>
      <c r="C878" s="6"/>
      <c r="D878" s="44"/>
      <c r="E878" s="6"/>
      <c r="F878" s="6"/>
      <c r="G878" s="6"/>
      <c r="H878" s="7"/>
      <c r="I878" s="6"/>
    </row>
    <row r="879" spans="1:9" ht="12.75" customHeight="1" x14ac:dyDescent="0.25">
      <c r="A879" s="6"/>
      <c r="B879" s="6"/>
      <c r="C879" s="6"/>
      <c r="D879" s="44"/>
      <c r="E879" s="6"/>
      <c r="F879" s="6"/>
      <c r="G879" s="6"/>
      <c r="H879" s="7"/>
      <c r="I879" s="6"/>
    </row>
    <row r="880" spans="1:9" ht="12.75" customHeight="1" x14ac:dyDescent="0.25">
      <c r="A880" s="6"/>
      <c r="B880" s="6"/>
      <c r="C880" s="6"/>
      <c r="D880" s="44"/>
      <c r="E880" s="6"/>
      <c r="F880" s="6"/>
      <c r="G880" s="6"/>
      <c r="H880" s="7"/>
      <c r="I880" s="6"/>
    </row>
    <row r="881" spans="1:9" ht="12.75" customHeight="1" x14ac:dyDescent="0.25">
      <c r="A881" s="6"/>
      <c r="B881" s="6"/>
      <c r="C881" s="6"/>
      <c r="D881" s="44"/>
      <c r="E881" s="6"/>
      <c r="F881" s="6"/>
      <c r="G881" s="6"/>
      <c r="H881" s="7"/>
      <c r="I881" s="6"/>
    </row>
    <row r="882" spans="1:9" ht="12.75" customHeight="1" x14ac:dyDescent="0.25">
      <c r="A882" s="6"/>
      <c r="B882" s="6"/>
      <c r="C882" s="6"/>
      <c r="D882" s="44"/>
      <c r="E882" s="6"/>
      <c r="F882" s="6"/>
      <c r="G882" s="6"/>
      <c r="H882" s="7"/>
      <c r="I882" s="6"/>
    </row>
    <row r="883" spans="1:9" ht="12.75" customHeight="1" x14ac:dyDescent="0.25">
      <c r="A883" s="6"/>
      <c r="B883" s="6"/>
      <c r="C883" s="6"/>
      <c r="D883" s="44"/>
      <c r="E883" s="6"/>
      <c r="F883" s="6"/>
      <c r="G883" s="6"/>
      <c r="H883" s="7"/>
      <c r="I883" s="6"/>
    </row>
    <row r="884" spans="1:9" ht="12.75" customHeight="1" x14ac:dyDescent="0.25">
      <c r="A884" s="6"/>
      <c r="B884" s="6"/>
      <c r="C884" s="6"/>
      <c r="D884" s="44"/>
      <c r="E884" s="6"/>
      <c r="F884" s="6"/>
      <c r="G884" s="6"/>
      <c r="H884" s="7"/>
      <c r="I884" s="6"/>
    </row>
    <row r="885" spans="1:9" ht="12.75" customHeight="1" x14ac:dyDescent="0.25">
      <c r="A885" s="6"/>
      <c r="B885" s="6"/>
      <c r="C885" s="6"/>
      <c r="D885" s="44"/>
      <c r="E885" s="6"/>
      <c r="F885" s="6"/>
      <c r="G885" s="6"/>
      <c r="H885" s="7"/>
      <c r="I885" s="6"/>
    </row>
    <row r="886" spans="1:9" ht="12.75" customHeight="1" x14ac:dyDescent="0.25">
      <c r="A886" s="6"/>
      <c r="B886" s="6"/>
      <c r="C886" s="6"/>
      <c r="D886" s="44"/>
      <c r="E886" s="6"/>
      <c r="F886" s="6"/>
      <c r="G886" s="6"/>
      <c r="H886" s="7"/>
      <c r="I886" s="6"/>
    </row>
    <row r="887" spans="1:9" ht="12.75" customHeight="1" x14ac:dyDescent="0.25">
      <c r="A887" s="6"/>
      <c r="B887" s="6"/>
      <c r="C887" s="6"/>
      <c r="D887" s="44"/>
      <c r="E887" s="6"/>
      <c r="F887" s="6"/>
      <c r="G887" s="6"/>
      <c r="H887" s="7"/>
      <c r="I887" s="6"/>
    </row>
    <row r="888" spans="1:9" ht="12.75" customHeight="1" x14ac:dyDescent="0.25">
      <c r="A888" s="6"/>
      <c r="B888" s="6"/>
      <c r="C888" s="6"/>
      <c r="D888" s="44"/>
      <c r="E888" s="6"/>
      <c r="F888" s="6"/>
      <c r="G888" s="6"/>
      <c r="H888" s="7"/>
      <c r="I888" s="6"/>
    </row>
    <row r="889" spans="1:9" ht="12.75" customHeight="1" x14ac:dyDescent="0.25">
      <c r="A889" s="6"/>
      <c r="B889" s="6"/>
      <c r="C889" s="6"/>
      <c r="D889" s="44"/>
      <c r="E889" s="6"/>
      <c r="F889" s="6"/>
      <c r="G889" s="6"/>
      <c r="H889" s="7"/>
      <c r="I889" s="6"/>
    </row>
    <row r="890" spans="1:9" ht="12.75" customHeight="1" x14ac:dyDescent="0.25">
      <c r="A890" s="6"/>
      <c r="B890" s="6"/>
      <c r="C890" s="6"/>
      <c r="D890" s="44"/>
      <c r="E890" s="6"/>
      <c r="F890" s="6"/>
      <c r="G890" s="6"/>
      <c r="H890" s="7"/>
      <c r="I890" s="6"/>
    </row>
    <row r="891" spans="1:9" ht="12.75" customHeight="1" x14ac:dyDescent="0.25">
      <c r="A891" s="6"/>
      <c r="B891" s="6"/>
      <c r="C891" s="6"/>
      <c r="D891" s="44"/>
      <c r="E891" s="6"/>
      <c r="F891" s="6"/>
      <c r="G891" s="6"/>
      <c r="H891" s="7"/>
      <c r="I891" s="6"/>
    </row>
    <row r="892" spans="1:9" ht="12.75" customHeight="1" x14ac:dyDescent="0.25">
      <c r="A892" s="6"/>
      <c r="B892" s="6"/>
      <c r="C892" s="6"/>
      <c r="D892" s="44"/>
      <c r="E892" s="6"/>
      <c r="F892" s="6"/>
      <c r="G892" s="6"/>
      <c r="H892" s="7"/>
      <c r="I892" s="6"/>
    </row>
    <row r="893" spans="1:9" ht="12.75" customHeight="1" x14ac:dyDescent="0.25">
      <c r="A893" s="6"/>
      <c r="B893" s="6"/>
      <c r="C893" s="6"/>
      <c r="D893" s="44"/>
      <c r="E893" s="6"/>
      <c r="F893" s="6"/>
      <c r="G893" s="6"/>
      <c r="H893" s="7"/>
      <c r="I893" s="6"/>
    </row>
    <row r="894" spans="1:9" ht="12.75" customHeight="1" x14ac:dyDescent="0.25">
      <c r="A894" s="6"/>
      <c r="B894" s="6"/>
      <c r="C894" s="6"/>
      <c r="D894" s="44"/>
      <c r="E894" s="6"/>
      <c r="F894" s="6"/>
      <c r="G894" s="6"/>
      <c r="H894" s="7"/>
      <c r="I894" s="6"/>
    </row>
    <row r="895" spans="1:9" ht="12.75" customHeight="1" x14ac:dyDescent="0.25">
      <c r="A895" s="6"/>
      <c r="B895" s="6"/>
      <c r="C895" s="6"/>
      <c r="D895" s="44"/>
      <c r="E895" s="6"/>
      <c r="F895" s="6"/>
      <c r="G895" s="6"/>
      <c r="H895" s="7"/>
      <c r="I895" s="6"/>
    </row>
    <row r="896" spans="1:9" ht="12.75" customHeight="1" x14ac:dyDescent="0.25">
      <c r="A896" s="6"/>
      <c r="B896" s="6"/>
      <c r="C896" s="6"/>
      <c r="D896" s="44"/>
      <c r="E896" s="6"/>
      <c r="F896" s="6"/>
      <c r="G896" s="6"/>
      <c r="H896" s="7"/>
      <c r="I896" s="6"/>
    </row>
    <row r="897" spans="1:9" ht="12.75" customHeight="1" x14ac:dyDescent="0.25">
      <c r="A897" s="6"/>
      <c r="B897" s="6"/>
      <c r="C897" s="6"/>
      <c r="D897" s="44"/>
      <c r="E897" s="6"/>
      <c r="F897" s="6"/>
      <c r="G897" s="6"/>
      <c r="H897" s="7"/>
      <c r="I897" s="6"/>
    </row>
    <row r="898" spans="1:9" ht="12.75" customHeight="1" x14ac:dyDescent="0.25">
      <c r="A898" s="6"/>
      <c r="B898" s="6"/>
      <c r="C898" s="6"/>
      <c r="D898" s="44"/>
      <c r="E898" s="6"/>
      <c r="F898" s="6"/>
      <c r="G898" s="6"/>
      <c r="H898" s="7"/>
      <c r="I898" s="6"/>
    </row>
    <row r="899" spans="1:9" ht="12.75" customHeight="1" x14ac:dyDescent="0.25">
      <c r="A899" s="6"/>
      <c r="B899" s="6"/>
      <c r="C899" s="6"/>
      <c r="D899" s="44"/>
      <c r="E899" s="6"/>
      <c r="F899" s="6"/>
      <c r="G899" s="6"/>
      <c r="H899" s="7"/>
      <c r="I899" s="6"/>
    </row>
    <row r="900" spans="1:9" ht="12.75" customHeight="1" x14ac:dyDescent="0.25">
      <c r="A900" s="6"/>
      <c r="B900" s="6"/>
      <c r="C900" s="6"/>
      <c r="D900" s="44"/>
      <c r="E900" s="6"/>
      <c r="F900" s="6"/>
      <c r="G900" s="6"/>
      <c r="H900" s="7"/>
      <c r="I900" s="6"/>
    </row>
    <row r="901" spans="1:9" ht="12.75" customHeight="1" x14ac:dyDescent="0.25">
      <c r="A901" s="6"/>
      <c r="B901" s="6"/>
      <c r="C901" s="6"/>
      <c r="D901" s="44"/>
      <c r="E901" s="6"/>
      <c r="F901" s="6"/>
      <c r="G901" s="6"/>
      <c r="H901" s="7"/>
      <c r="I901" s="6"/>
    </row>
    <row r="902" spans="1:9" ht="12.75" customHeight="1" x14ac:dyDescent="0.25">
      <c r="A902" s="6"/>
      <c r="B902" s="6"/>
      <c r="C902" s="6"/>
      <c r="D902" s="44"/>
      <c r="E902" s="6"/>
      <c r="F902" s="6"/>
      <c r="G902" s="6"/>
      <c r="H902" s="7"/>
      <c r="I902" s="6"/>
    </row>
    <row r="903" spans="1:9" ht="12.75" customHeight="1" x14ac:dyDescent="0.25">
      <c r="A903" s="6"/>
      <c r="B903" s="6"/>
      <c r="C903" s="6"/>
      <c r="D903" s="44"/>
      <c r="E903" s="6"/>
      <c r="F903" s="6"/>
      <c r="G903" s="6"/>
      <c r="H903" s="7"/>
      <c r="I903" s="6"/>
    </row>
    <row r="904" spans="1:9" ht="12.75" customHeight="1" x14ac:dyDescent="0.25">
      <c r="A904" s="6"/>
      <c r="B904" s="6"/>
      <c r="C904" s="6"/>
      <c r="D904" s="44"/>
      <c r="E904" s="6"/>
      <c r="F904" s="6"/>
      <c r="G904" s="6"/>
      <c r="H904" s="7"/>
      <c r="I904" s="6"/>
    </row>
    <row r="905" spans="1:9" ht="12.75" customHeight="1" x14ac:dyDescent="0.25">
      <c r="A905" s="6"/>
      <c r="B905" s="6"/>
      <c r="C905" s="6"/>
      <c r="D905" s="44"/>
      <c r="E905" s="6"/>
      <c r="F905" s="6"/>
      <c r="G905" s="6"/>
      <c r="H905" s="7"/>
      <c r="I905" s="6"/>
    </row>
    <row r="906" spans="1:9" ht="12.75" customHeight="1" x14ac:dyDescent="0.25">
      <c r="A906" s="6"/>
      <c r="B906" s="6"/>
      <c r="C906" s="6"/>
      <c r="D906" s="44"/>
      <c r="E906" s="6"/>
      <c r="F906" s="6"/>
      <c r="G906" s="6"/>
      <c r="H906" s="7"/>
      <c r="I906" s="6"/>
    </row>
    <row r="907" spans="1:9" ht="12.75" customHeight="1" x14ac:dyDescent="0.25">
      <c r="A907" s="6"/>
      <c r="B907" s="6"/>
      <c r="C907" s="6"/>
      <c r="D907" s="44"/>
      <c r="E907" s="6"/>
      <c r="F907" s="6"/>
      <c r="G907" s="6"/>
      <c r="H907" s="7"/>
      <c r="I907" s="6"/>
    </row>
    <row r="908" spans="1:9" ht="12.75" customHeight="1" x14ac:dyDescent="0.25">
      <c r="A908" s="6"/>
      <c r="B908" s="6"/>
      <c r="C908" s="6"/>
      <c r="D908" s="44"/>
      <c r="E908" s="6"/>
      <c r="F908" s="6"/>
      <c r="G908" s="6"/>
      <c r="H908" s="7"/>
      <c r="I908" s="6"/>
    </row>
    <row r="909" spans="1:9" ht="12.75" customHeight="1" x14ac:dyDescent="0.25">
      <c r="A909" s="6"/>
      <c r="B909" s="6"/>
      <c r="C909" s="6"/>
      <c r="D909" s="44"/>
      <c r="E909" s="6"/>
      <c r="F909" s="6"/>
      <c r="G909" s="6"/>
      <c r="H909" s="7"/>
      <c r="I909" s="6"/>
    </row>
    <row r="910" spans="1:9" ht="12.75" customHeight="1" x14ac:dyDescent="0.25">
      <c r="A910" s="6"/>
      <c r="B910" s="6"/>
      <c r="C910" s="6"/>
      <c r="D910" s="44"/>
      <c r="E910" s="6"/>
      <c r="F910" s="6"/>
      <c r="G910" s="6"/>
      <c r="H910" s="7"/>
      <c r="I910" s="6"/>
    </row>
    <row r="911" spans="1:9" ht="12.75" customHeight="1" x14ac:dyDescent="0.25">
      <c r="A911" s="6"/>
      <c r="B911" s="6"/>
      <c r="C911" s="6"/>
      <c r="D911" s="44"/>
      <c r="E911" s="6"/>
      <c r="F911" s="6"/>
      <c r="G911" s="6"/>
      <c r="H911" s="7"/>
      <c r="I911" s="6"/>
    </row>
    <row r="912" spans="1:9" ht="12.75" customHeight="1" x14ac:dyDescent="0.25">
      <c r="A912" s="6"/>
      <c r="B912" s="6"/>
      <c r="C912" s="6"/>
      <c r="D912" s="44"/>
      <c r="E912" s="6"/>
      <c r="F912" s="6"/>
      <c r="G912" s="6"/>
      <c r="H912" s="7"/>
      <c r="I912" s="6"/>
    </row>
    <row r="913" spans="1:9" ht="12.75" customHeight="1" x14ac:dyDescent="0.25">
      <c r="A913" s="6"/>
      <c r="B913" s="6"/>
      <c r="C913" s="6"/>
      <c r="D913" s="44"/>
      <c r="E913" s="6"/>
      <c r="F913" s="6"/>
      <c r="G913" s="6"/>
      <c r="H913" s="7"/>
      <c r="I913" s="6"/>
    </row>
    <row r="914" spans="1:9" ht="12.75" customHeight="1" x14ac:dyDescent="0.25">
      <c r="A914" s="6"/>
      <c r="B914" s="6"/>
      <c r="C914" s="6"/>
      <c r="D914" s="44"/>
      <c r="E914" s="6"/>
      <c r="F914" s="6"/>
      <c r="G914" s="6"/>
      <c r="H914" s="7"/>
      <c r="I914" s="6"/>
    </row>
    <row r="915" spans="1:9" ht="12.75" customHeight="1" x14ac:dyDescent="0.25">
      <c r="A915" s="6"/>
      <c r="B915" s="6"/>
      <c r="C915" s="6"/>
      <c r="D915" s="44"/>
      <c r="E915" s="6"/>
      <c r="F915" s="6"/>
      <c r="G915" s="6"/>
      <c r="H915" s="7"/>
      <c r="I915" s="6"/>
    </row>
    <row r="916" spans="1:9" ht="12.75" customHeight="1" x14ac:dyDescent="0.25">
      <c r="A916" s="6"/>
      <c r="B916" s="6"/>
      <c r="C916" s="6"/>
      <c r="D916" s="44"/>
      <c r="E916" s="6"/>
      <c r="F916" s="6"/>
      <c r="G916" s="6"/>
      <c r="H916" s="7"/>
      <c r="I916" s="6"/>
    </row>
    <row r="917" spans="1:9" ht="12.75" customHeight="1" x14ac:dyDescent="0.25">
      <c r="A917" s="6"/>
      <c r="B917" s="6"/>
      <c r="C917" s="6"/>
      <c r="D917" s="44"/>
      <c r="E917" s="6"/>
      <c r="F917" s="6"/>
      <c r="G917" s="6"/>
      <c r="H917" s="7"/>
      <c r="I917" s="6"/>
    </row>
    <row r="918" spans="1:9" ht="12.75" customHeight="1" x14ac:dyDescent="0.25">
      <c r="A918" s="6"/>
      <c r="B918" s="6"/>
      <c r="C918" s="6"/>
      <c r="D918" s="44"/>
      <c r="E918" s="6"/>
      <c r="F918" s="6"/>
      <c r="G918" s="6"/>
      <c r="H918" s="7"/>
      <c r="I918" s="6"/>
    </row>
    <row r="919" spans="1:9" ht="12.75" customHeight="1" x14ac:dyDescent="0.25">
      <c r="A919" s="6"/>
      <c r="B919" s="6"/>
      <c r="C919" s="6"/>
      <c r="D919" s="44"/>
      <c r="E919" s="6"/>
      <c r="F919" s="6"/>
      <c r="G919" s="6"/>
      <c r="H919" s="7"/>
      <c r="I919" s="6"/>
    </row>
    <row r="920" spans="1:9" ht="12.75" customHeight="1" x14ac:dyDescent="0.25">
      <c r="A920" s="6"/>
      <c r="B920" s="6"/>
      <c r="C920" s="6"/>
      <c r="D920" s="44"/>
      <c r="E920" s="6"/>
      <c r="F920" s="6"/>
      <c r="G920" s="6"/>
      <c r="H920" s="7"/>
      <c r="I920" s="6"/>
    </row>
    <row r="921" spans="1:9" ht="12.75" customHeight="1" x14ac:dyDescent="0.25">
      <c r="A921" s="6"/>
      <c r="B921" s="6"/>
      <c r="C921" s="6"/>
      <c r="D921" s="44"/>
      <c r="E921" s="6"/>
      <c r="F921" s="6"/>
      <c r="G921" s="6"/>
      <c r="H921" s="7"/>
      <c r="I921" s="6"/>
    </row>
    <row r="922" spans="1:9" ht="12.75" customHeight="1" x14ac:dyDescent="0.25">
      <c r="A922" s="6"/>
      <c r="B922" s="6"/>
      <c r="C922" s="6"/>
      <c r="D922" s="44"/>
      <c r="E922" s="6"/>
      <c r="F922" s="6"/>
      <c r="G922" s="6"/>
      <c r="H922" s="7"/>
      <c r="I922" s="6"/>
    </row>
    <row r="923" spans="1:9" ht="12.75" customHeight="1" x14ac:dyDescent="0.25">
      <c r="A923" s="6"/>
      <c r="B923" s="6"/>
      <c r="C923" s="6"/>
      <c r="D923" s="44"/>
      <c r="E923" s="6"/>
      <c r="F923" s="6"/>
      <c r="G923" s="6"/>
      <c r="H923" s="7"/>
      <c r="I923" s="6"/>
    </row>
    <row r="924" spans="1:9" ht="12.75" customHeight="1" x14ac:dyDescent="0.25">
      <c r="A924" s="6"/>
      <c r="B924" s="6"/>
      <c r="C924" s="6"/>
      <c r="D924" s="44"/>
      <c r="E924" s="6"/>
      <c r="F924" s="6"/>
      <c r="G924" s="6"/>
      <c r="H924" s="7"/>
      <c r="I924" s="6"/>
    </row>
    <row r="925" spans="1:9" ht="12.75" customHeight="1" x14ac:dyDescent="0.25">
      <c r="A925" s="6"/>
      <c r="B925" s="6"/>
      <c r="C925" s="6"/>
      <c r="D925" s="44"/>
      <c r="E925" s="6"/>
      <c r="F925" s="6"/>
      <c r="G925" s="6"/>
      <c r="H925" s="7"/>
      <c r="I925" s="6"/>
    </row>
    <row r="926" spans="1:9" ht="12.75" customHeight="1" x14ac:dyDescent="0.25">
      <c r="A926" s="6"/>
      <c r="B926" s="6"/>
      <c r="C926" s="6"/>
      <c r="D926" s="44"/>
      <c r="E926" s="6"/>
      <c r="F926" s="6"/>
      <c r="G926" s="6"/>
      <c r="H926" s="7"/>
      <c r="I926" s="6"/>
    </row>
    <row r="927" spans="1:9" ht="12.75" customHeight="1" x14ac:dyDescent="0.25">
      <c r="A927" s="6"/>
      <c r="B927" s="6"/>
      <c r="C927" s="6"/>
      <c r="D927" s="44"/>
      <c r="E927" s="6"/>
      <c r="F927" s="6"/>
      <c r="G927" s="6"/>
      <c r="H927" s="7"/>
      <c r="I927" s="6"/>
    </row>
    <row r="928" spans="1:9" ht="12.75" customHeight="1" x14ac:dyDescent="0.25">
      <c r="A928" s="6"/>
      <c r="B928" s="6"/>
      <c r="C928" s="6"/>
      <c r="D928" s="44"/>
      <c r="E928" s="6"/>
      <c r="F928" s="6"/>
      <c r="G928" s="6"/>
      <c r="H928" s="7"/>
      <c r="I928" s="6"/>
    </row>
    <row r="929" spans="1:9" ht="12.75" customHeight="1" x14ac:dyDescent="0.25">
      <c r="A929" s="6"/>
      <c r="B929" s="6"/>
      <c r="C929" s="6"/>
      <c r="D929" s="44"/>
      <c r="E929" s="6"/>
      <c r="F929" s="6"/>
      <c r="G929" s="6"/>
      <c r="H929" s="7"/>
      <c r="I929" s="6"/>
    </row>
    <row r="930" spans="1:9" ht="12.75" customHeight="1" x14ac:dyDescent="0.25">
      <c r="A930" s="6"/>
      <c r="B930" s="6"/>
      <c r="C930" s="6"/>
      <c r="D930" s="44"/>
      <c r="E930" s="6"/>
      <c r="F930" s="6"/>
      <c r="G930" s="6"/>
      <c r="H930" s="7"/>
      <c r="I930" s="6"/>
    </row>
    <row r="931" spans="1:9" ht="12.75" customHeight="1" x14ac:dyDescent="0.25">
      <c r="A931" s="6"/>
      <c r="B931" s="6"/>
      <c r="C931" s="6"/>
      <c r="D931" s="44"/>
      <c r="E931" s="6"/>
      <c r="F931" s="6"/>
      <c r="G931" s="6"/>
      <c r="H931" s="7"/>
      <c r="I931" s="6"/>
    </row>
    <row r="932" spans="1:9" ht="12.75" customHeight="1" x14ac:dyDescent="0.25">
      <c r="A932" s="6"/>
      <c r="B932" s="6"/>
      <c r="C932" s="6"/>
      <c r="D932" s="44"/>
      <c r="E932" s="6"/>
      <c r="F932" s="6"/>
      <c r="G932" s="6"/>
      <c r="H932" s="7"/>
      <c r="I932" s="6"/>
    </row>
    <row r="933" spans="1:9" ht="12.75" customHeight="1" x14ac:dyDescent="0.25">
      <c r="A933" s="6"/>
      <c r="B933" s="6"/>
      <c r="C933" s="6"/>
      <c r="D933" s="44"/>
      <c r="E933" s="6"/>
      <c r="F933" s="6"/>
      <c r="G933" s="6"/>
      <c r="H933" s="7"/>
      <c r="I933" s="6"/>
    </row>
    <row r="934" spans="1:9" ht="12.75" customHeight="1" x14ac:dyDescent="0.25">
      <c r="A934" s="6"/>
      <c r="B934" s="6"/>
      <c r="C934" s="6"/>
      <c r="D934" s="44"/>
      <c r="E934" s="6"/>
      <c r="F934" s="6"/>
      <c r="G934" s="6"/>
      <c r="H934" s="7"/>
      <c r="I934" s="6"/>
    </row>
    <row r="935" spans="1:9" ht="12.75" customHeight="1" x14ac:dyDescent="0.25">
      <c r="A935" s="6"/>
      <c r="B935" s="6"/>
      <c r="C935" s="6"/>
      <c r="D935" s="44"/>
      <c r="E935" s="6"/>
      <c r="F935" s="6"/>
      <c r="G935" s="6"/>
      <c r="H935" s="7"/>
      <c r="I935" s="6"/>
    </row>
    <row r="936" spans="1:9" ht="12.75" customHeight="1" x14ac:dyDescent="0.25">
      <c r="A936" s="6"/>
      <c r="B936" s="6"/>
      <c r="C936" s="6"/>
      <c r="D936" s="44"/>
      <c r="E936" s="6"/>
      <c r="F936" s="6"/>
      <c r="G936" s="6"/>
      <c r="H936" s="7"/>
      <c r="I936" s="6"/>
    </row>
    <row r="937" spans="1:9" ht="12.75" customHeight="1" x14ac:dyDescent="0.25">
      <c r="A937" s="6"/>
      <c r="B937" s="6"/>
      <c r="C937" s="6"/>
      <c r="D937" s="44"/>
      <c r="E937" s="6"/>
      <c r="F937" s="6"/>
      <c r="G937" s="6"/>
      <c r="H937" s="7"/>
      <c r="I937" s="6"/>
    </row>
    <row r="938" spans="1:9" ht="12.75" customHeight="1" x14ac:dyDescent="0.25">
      <c r="A938" s="6"/>
      <c r="B938" s="6"/>
      <c r="C938" s="6"/>
      <c r="D938" s="44"/>
      <c r="E938" s="6"/>
      <c r="F938" s="6"/>
      <c r="G938" s="6"/>
      <c r="H938" s="7"/>
      <c r="I938" s="6"/>
    </row>
    <row r="939" spans="1:9" ht="12.75" customHeight="1" x14ac:dyDescent="0.25">
      <c r="A939" s="6"/>
      <c r="B939" s="6"/>
      <c r="C939" s="6"/>
      <c r="D939" s="44"/>
      <c r="E939" s="6"/>
      <c r="F939" s="6"/>
      <c r="G939" s="6"/>
      <c r="H939" s="7"/>
      <c r="I939" s="6"/>
    </row>
    <row r="940" spans="1:9" ht="12.75" customHeight="1" x14ac:dyDescent="0.25">
      <c r="A940" s="6"/>
      <c r="B940" s="6"/>
      <c r="C940" s="6"/>
      <c r="D940" s="44"/>
      <c r="E940" s="6"/>
      <c r="F940" s="6"/>
      <c r="G940" s="6"/>
      <c r="H940" s="7"/>
      <c r="I940" s="6"/>
    </row>
    <row r="941" spans="1:9" ht="12.75" customHeight="1" x14ac:dyDescent="0.25">
      <c r="A941" s="6"/>
      <c r="B941" s="6"/>
      <c r="C941" s="6"/>
      <c r="D941" s="44"/>
      <c r="E941" s="6"/>
      <c r="F941" s="6"/>
      <c r="G941" s="6"/>
      <c r="H941" s="7"/>
      <c r="I941" s="6"/>
    </row>
    <row r="942" spans="1:9" ht="12.75" customHeight="1" x14ac:dyDescent="0.25">
      <c r="A942" s="6"/>
      <c r="B942" s="6"/>
      <c r="C942" s="6"/>
      <c r="D942" s="44"/>
      <c r="E942" s="6"/>
      <c r="F942" s="6"/>
      <c r="G942" s="6"/>
      <c r="H942" s="7"/>
      <c r="I942" s="6"/>
    </row>
    <row r="943" spans="1:9" ht="12.75" customHeight="1" x14ac:dyDescent="0.25">
      <c r="A943" s="6"/>
      <c r="B943" s="6"/>
      <c r="C943" s="6"/>
      <c r="D943" s="44"/>
      <c r="E943" s="6"/>
      <c r="F943" s="6"/>
      <c r="G943" s="6"/>
      <c r="H943" s="7"/>
      <c r="I943" s="6"/>
    </row>
    <row r="944" spans="1:9" ht="12.75" customHeight="1" x14ac:dyDescent="0.25">
      <c r="A944" s="6"/>
      <c r="B944" s="6"/>
      <c r="C944" s="6"/>
      <c r="D944" s="44"/>
      <c r="E944" s="6"/>
      <c r="F944" s="6"/>
      <c r="G944" s="6"/>
      <c r="H944" s="7"/>
      <c r="I944" s="6"/>
    </row>
    <row r="945" spans="1:9" ht="12.75" customHeight="1" x14ac:dyDescent="0.25">
      <c r="A945" s="6"/>
      <c r="B945" s="6"/>
      <c r="C945" s="6"/>
      <c r="D945" s="44"/>
      <c r="E945" s="6"/>
      <c r="F945" s="6"/>
      <c r="G945" s="6"/>
      <c r="H945" s="7"/>
      <c r="I945" s="6"/>
    </row>
    <row r="946" spans="1:9" ht="12.75" customHeight="1" x14ac:dyDescent="0.25">
      <c r="A946" s="6"/>
      <c r="B946" s="6"/>
      <c r="C946" s="6"/>
      <c r="D946" s="44"/>
      <c r="E946" s="6"/>
      <c r="F946" s="6"/>
      <c r="G946" s="6"/>
      <c r="H946" s="7"/>
      <c r="I946" s="6"/>
    </row>
    <row r="947" spans="1:9" ht="12.75" customHeight="1" x14ac:dyDescent="0.25">
      <c r="A947" s="6"/>
      <c r="B947" s="6"/>
      <c r="C947" s="6"/>
      <c r="D947" s="44"/>
      <c r="E947" s="6"/>
      <c r="F947" s="6"/>
      <c r="G947" s="6"/>
      <c r="H947" s="7"/>
      <c r="I947" s="6"/>
    </row>
    <row r="948" spans="1:9" ht="12.75" customHeight="1" x14ac:dyDescent="0.25">
      <c r="A948" s="6"/>
      <c r="B948" s="6"/>
      <c r="C948" s="6"/>
      <c r="D948" s="44"/>
      <c r="E948" s="6"/>
      <c r="F948" s="6"/>
      <c r="G948" s="6"/>
      <c r="H948" s="7"/>
      <c r="I948" s="6"/>
    </row>
    <row r="949" spans="1:9" ht="12.75" customHeight="1" x14ac:dyDescent="0.25">
      <c r="A949" s="6"/>
      <c r="B949" s="6"/>
      <c r="C949" s="6"/>
      <c r="D949" s="44"/>
      <c r="E949" s="6"/>
      <c r="F949" s="6"/>
      <c r="G949" s="6"/>
      <c r="H949" s="7"/>
      <c r="I949" s="6"/>
    </row>
    <row r="950" spans="1:9" ht="12.75" customHeight="1" x14ac:dyDescent="0.25">
      <c r="A950" s="6"/>
      <c r="B950" s="6"/>
      <c r="C950" s="6"/>
      <c r="D950" s="44"/>
      <c r="E950" s="6"/>
      <c r="F950" s="6"/>
      <c r="G950" s="6"/>
      <c r="H950" s="7"/>
      <c r="I950" s="6"/>
    </row>
    <row r="951" spans="1:9" ht="12.75" customHeight="1" x14ac:dyDescent="0.25">
      <c r="A951" s="6"/>
      <c r="B951" s="6"/>
      <c r="C951" s="6"/>
      <c r="D951" s="44"/>
      <c r="E951" s="6"/>
      <c r="F951" s="6"/>
      <c r="G951" s="6"/>
      <c r="H951" s="7"/>
      <c r="I951" s="6"/>
    </row>
    <row r="952" spans="1:9" ht="12.75" customHeight="1" x14ac:dyDescent="0.25">
      <c r="A952" s="6"/>
      <c r="B952" s="6"/>
      <c r="C952" s="6"/>
      <c r="D952" s="44"/>
      <c r="E952" s="6"/>
      <c r="F952" s="6"/>
      <c r="G952" s="6"/>
      <c r="H952" s="7"/>
      <c r="I952" s="6"/>
    </row>
    <row r="953" spans="1:9" ht="12.75" customHeight="1" x14ac:dyDescent="0.25">
      <c r="A953" s="6"/>
      <c r="B953" s="6"/>
      <c r="C953" s="6"/>
      <c r="D953" s="44"/>
      <c r="E953" s="6"/>
      <c r="F953" s="6"/>
      <c r="G953" s="6"/>
      <c r="H953" s="7"/>
      <c r="I953" s="6"/>
    </row>
    <row r="954" spans="1:9" ht="12.75" customHeight="1" x14ac:dyDescent="0.25">
      <c r="A954" s="6"/>
      <c r="B954" s="6"/>
      <c r="C954" s="6"/>
      <c r="D954" s="44"/>
      <c r="E954" s="6"/>
      <c r="F954" s="6"/>
      <c r="G954" s="6"/>
      <c r="H954" s="7"/>
      <c r="I954" s="6"/>
    </row>
    <row r="955" spans="1:9" ht="12.75" customHeight="1" x14ac:dyDescent="0.25">
      <c r="A955" s="6"/>
      <c r="B955" s="6"/>
      <c r="C955" s="6"/>
      <c r="D955" s="44"/>
      <c r="E955" s="6"/>
      <c r="F955" s="6"/>
      <c r="G955" s="6"/>
      <c r="H955" s="7"/>
      <c r="I955" s="6"/>
    </row>
    <row r="956" spans="1:9" ht="12.75" customHeight="1" x14ac:dyDescent="0.25">
      <c r="A956" s="6"/>
      <c r="B956" s="6"/>
      <c r="C956" s="6"/>
      <c r="D956" s="44"/>
      <c r="E956" s="6"/>
      <c r="F956" s="6"/>
      <c r="G956" s="6"/>
      <c r="H956" s="7"/>
      <c r="I956" s="6"/>
    </row>
    <row r="957" spans="1:9" ht="12.75" customHeight="1" x14ac:dyDescent="0.25">
      <c r="A957" s="6"/>
      <c r="B957" s="6"/>
      <c r="C957" s="6"/>
      <c r="D957" s="44"/>
      <c r="E957" s="6"/>
      <c r="F957" s="6"/>
      <c r="G957" s="6"/>
      <c r="H957" s="7"/>
      <c r="I957" s="6"/>
    </row>
    <row r="958" spans="1:9" ht="12.75" customHeight="1" x14ac:dyDescent="0.25">
      <c r="A958" s="6"/>
      <c r="B958" s="6"/>
      <c r="C958" s="6"/>
      <c r="D958" s="44"/>
      <c r="E958" s="6"/>
      <c r="F958" s="6"/>
      <c r="G958" s="6"/>
      <c r="H958" s="7"/>
      <c r="I958" s="6"/>
    </row>
    <row r="959" spans="1:9" ht="12.75" customHeight="1" x14ac:dyDescent="0.25">
      <c r="A959" s="6"/>
      <c r="B959" s="6"/>
      <c r="C959" s="6"/>
      <c r="D959" s="44"/>
      <c r="E959" s="6"/>
      <c r="F959" s="6"/>
      <c r="G959" s="6"/>
      <c r="H959" s="7"/>
      <c r="I959" s="6"/>
    </row>
    <row r="960" spans="1:9" ht="12.75" customHeight="1" x14ac:dyDescent="0.25">
      <c r="A960" s="6"/>
      <c r="B960" s="6"/>
      <c r="C960" s="6"/>
      <c r="D960" s="44"/>
      <c r="E960" s="6"/>
      <c r="F960" s="6"/>
      <c r="G960" s="6"/>
      <c r="H960" s="7"/>
      <c r="I960" s="6"/>
    </row>
    <row r="961" spans="1:9" ht="12.75" customHeight="1" x14ac:dyDescent="0.25">
      <c r="A961" s="6"/>
      <c r="B961" s="6"/>
      <c r="C961" s="6"/>
      <c r="D961" s="44"/>
      <c r="E961" s="6"/>
      <c r="F961" s="6"/>
      <c r="G961" s="6"/>
      <c r="H961" s="7"/>
      <c r="I961" s="6"/>
    </row>
    <row r="962" spans="1:9" ht="12.75" customHeight="1" x14ac:dyDescent="0.25">
      <c r="A962" s="6"/>
      <c r="B962" s="6"/>
      <c r="C962" s="6"/>
      <c r="D962" s="44"/>
      <c r="E962" s="6"/>
      <c r="F962" s="6"/>
      <c r="G962" s="6"/>
      <c r="H962" s="7"/>
      <c r="I962" s="6"/>
    </row>
    <row r="963" spans="1:9" ht="12.75" customHeight="1" x14ac:dyDescent="0.25">
      <c r="A963" s="6"/>
      <c r="B963" s="6"/>
      <c r="C963" s="6"/>
      <c r="D963" s="44"/>
      <c r="E963" s="6"/>
      <c r="F963" s="6"/>
      <c r="G963" s="6"/>
      <c r="H963" s="7"/>
      <c r="I963" s="6"/>
    </row>
    <row r="964" spans="1:9" ht="12.75" customHeight="1" x14ac:dyDescent="0.25">
      <c r="A964" s="6"/>
      <c r="B964" s="6"/>
      <c r="C964" s="6"/>
      <c r="D964" s="44"/>
      <c r="E964" s="6"/>
      <c r="F964" s="6"/>
      <c r="G964" s="6"/>
      <c r="H964" s="7"/>
      <c r="I964" s="6"/>
    </row>
    <row r="965" spans="1:9" ht="12.75" customHeight="1" x14ac:dyDescent="0.25">
      <c r="A965" s="6"/>
      <c r="B965" s="6"/>
      <c r="C965" s="6"/>
      <c r="D965" s="44"/>
      <c r="E965" s="6"/>
      <c r="F965" s="6"/>
      <c r="G965" s="6"/>
      <c r="H965" s="7"/>
      <c r="I965" s="6"/>
    </row>
    <row r="966" spans="1:9" ht="12.75" customHeight="1" x14ac:dyDescent="0.25">
      <c r="A966" s="6"/>
      <c r="B966" s="6"/>
      <c r="C966" s="6"/>
      <c r="D966" s="44"/>
      <c r="E966" s="6"/>
      <c r="F966" s="6"/>
      <c r="G966" s="6"/>
      <c r="H966" s="7"/>
      <c r="I966" s="6"/>
    </row>
    <row r="967" spans="1:9" ht="12.75" customHeight="1" x14ac:dyDescent="0.25">
      <c r="A967" s="6"/>
      <c r="B967" s="6"/>
      <c r="C967" s="6"/>
      <c r="D967" s="44"/>
      <c r="E967" s="6"/>
      <c r="F967" s="6"/>
      <c r="G967" s="6"/>
      <c r="H967" s="7"/>
      <c r="I967" s="6"/>
    </row>
    <row r="968" spans="1:9" ht="12.75" customHeight="1" x14ac:dyDescent="0.25">
      <c r="A968" s="6"/>
      <c r="B968" s="6"/>
      <c r="C968" s="6"/>
      <c r="D968" s="44"/>
      <c r="E968" s="6"/>
      <c r="F968" s="6"/>
      <c r="G968" s="6"/>
      <c r="H968" s="7"/>
      <c r="I968" s="6"/>
    </row>
    <row r="969" spans="1:9" ht="12.75" customHeight="1" x14ac:dyDescent="0.25">
      <c r="A969" s="6"/>
      <c r="B969" s="6"/>
      <c r="C969" s="6"/>
      <c r="D969" s="44"/>
      <c r="E969" s="6"/>
      <c r="F969" s="6"/>
      <c r="G969" s="6"/>
      <c r="H969" s="7"/>
      <c r="I969" s="6"/>
    </row>
    <row r="970" spans="1:9" ht="12.75" customHeight="1" x14ac:dyDescent="0.25">
      <c r="A970" s="6"/>
      <c r="B970" s="6"/>
      <c r="C970" s="6"/>
      <c r="D970" s="44"/>
      <c r="E970" s="6"/>
      <c r="F970" s="6"/>
      <c r="G970" s="6"/>
      <c r="H970" s="7"/>
      <c r="I970" s="6"/>
    </row>
    <row r="971" spans="1:9" ht="12.75" customHeight="1" x14ac:dyDescent="0.25">
      <c r="A971" s="6"/>
      <c r="B971" s="6"/>
      <c r="C971" s="6"/>
      <c r="D971" s="44"/>
      <c r="E971" s="6"/>
      <c r="F971" s="6"/>
      <c r="G971" s="6"/>
      <c r="H971" s="7"/>
      <c r="I971" s="6"/>
    </row>
    <row r="972" spans="1:9" ht="12.75" customHeight="1" x14ac:dyDescent="0.25">
      <c r="A972" s="6"/>
      <c r="B972" s="6"/>
      <c r="C972" s="6"/>
      <c r="D972" s="44"/>
      <c r="E972" s="6"/>
      <c r="F972" s="6"/>
      <c r="G972" s="6"/>
      <c r="H972" s="7"/>
      <c r="I972" s="6"/>
    </row>
    <row r="973" spans="1:9" ht="12.75" customHeight="1" x14ac:dyDescent="0.25">
      <c r="A973" s="6"/>
      <c r="B973" s="6"/>
      <c r="C973" s="6"/>
      <c r="D973" s="44"/>
      <c r="E973" s="6"/>
      <c r="F973" s="6"/>
      <c r="G973" s="6"/>
      <c r="H973" s="7"/>
      <c r="I973" s="6"/>
    </row>
    <row r="974" spans="1:9" ht="12.75" customHeight="1" x14ac:dyDescent="0.25">
      <c r="A974" s="6"/>
      <c r="B974" s="6"/>
      <c r="C974" s="6"/>
      <c r="D974" s="44"/>
      <c r="E974" s="6"/>
      <c r="F974" s="6"/>
      <c r="G974" s="6"/>
      <c r="H974" s="7"/>
      <c r="I974" s="6"/>
    </row>
    <row r="975" spans="1:9" ht="12.75" customHeight="1" x14ac:dyDescent="0.25">
      <c r="A975" s="6"/>
      <c r="B975" s="6"/>
      <c r="C975" s="6"/>
      <c r="D975" s="44"/>
      <c r="E975" s="6"/>
      <c r="F975" s="6"/>
      <c r="G975" s="6"/>
      <c r="H975" s="7"/>
      <c r="I975" s="6"/>
    </row>
    <row r="976" spans="1:9" ht="12.75" customHeight="1" x14ac:dyDescent="0.25">
      <c r="A976" s="6"/>
      <c r="B976" s="6"/>
      <c r="C976" s="6"/>
      <c r="D976" s="44"/>
      <c r="E976" s="6"/>
      <c r="F976" s="6"/>
      <c r="G976" s="6"/>
      <c r="H976" s="7"/>
      <c r="I976" s="6"/>
    </row>
    <row r="977" spans="1:9" ht="12.75" customHeight="1" x14ac:dyDescent="0.25">
      <c r="A977" s="6"/>
      <c r="B977" s="6"/>
      <c r="C977" s="6"/>
      <c r="D977" s="44"/>
      <c r="E977" s="6"/>
      <c r="F977" s="6"/>
      <c r="G977" s="6"/>
      <c r="H977" s="7"/>
      <c r="I977" s="6"/>
    </row>
    <row r="978" spans="1:9" ht="12.75" customHeight="1" x14ac:dyDescent="0.25">
      <c r="A978" s="6"/>
      <c r="B978" s="6"/>
      <c r="C978" s="6"/>
      <c r="D978" s="44"/>
      <c r="E978" s="6"/>
      <c r="F978" s="6"/>
      <c r="G978" s="6"/>
      <c r="H978" s="7"/>
      <c r="I978" s="6"/>
    </row>
    <row r="979" spans="1:9" ht="12.75" customHeight="1" x14ac:dyDescent="0.25">
      <c r="A979" s="6"/>
      <c r="B979" s="6"/>
      <c r="C979" s="6"/>
      <c r="D979" s="44"/>
      <c r="E979" s="6"/>
      <c r="F979" s="6"/>
      <c r="G979" s="6"/>
      <c r="H979" s="7"/>
      <c r="I979" s="6"/>
    </row>
    <row r="980" spans="1:9" ht="12.75" customHeight="1" x14ac:dyDescent="0.25">
      <c r="A980" s="6"/>
      <c r="B980" s="6"/>
      <c r="C980" s="6"/>
      <c r="D980" s="44"/>
      <c r="E980" s="6"/>
      <c r="F980" s="6"/>
      <c r="G980" s="6"/>
      <c r="H980" s="7"/>
      <c r="I980" s="6"/>
    </row>
    <row r="981" spans="1:9" ht="12.75" customHeight="1" x14ac:dyDescent="0.25">
      <c r="A981" s="6"/>
      <c r="B981" s="6"/>
      <c r="C981" s="6"/>
      <c r="D981" s="44"/>
      <c r="E981" s="6"/>
      <c r="F981" s="6"/>
      <c r="G981" s="6"/>
      <c r="H981" s="7"/>
      <c r="I981" s="6"/>
    </row>
    <row r="982" spans="1:9" ht="12.75" customHeight="1" x14ac:dyDescent="0.25">
      <c r="A982" s="6"/>
      <c r="B982" s="6"/>
      <c r="C982" s="6"/>
      <c r="D982" s="44"/>
      <c r="E982" s="6"/>
      <c r="F982" s="6"/>
      <c r="G982" s="6"/>
      <c r="H982" s="7"/>
      <c r="I982" s="6"/>
    </row>
    <row r="983" spans="1:9" ht="12.75" customHeight="1" x14ac:dyDescent="0.25">
      <c r="A983" s="6"/>
      <c r="B983" s="6"/>
      <c r="C983" s="6"/>
      <c r="D983" s="44"/>
      <c r="E983" s="6"/>
      <c r="F983" s="6"/>
      <c r="G983" s="6"/>
      <c r="H983" s="7"/>
      <c r="I983" s="6"/>
    </row>
    <row r="984" spans="1:9" ht="12.75" customHeight="1" x14ac:dyDescent="0.25">
      <c r="A984" s="6"/>
      <c r="B984" s="6"/>
      <c r="C984" s="6"/>
      <c r="D984" s="44"/>
      <c r="E984" s="6"/>
      <c r="F984" s="6"/>
      <c r="G984" s="6"/>
      <c r="H984" s="7"/>
      <c r="I984" s="6"/>
    </row>
  </sheetData>
  <conditionalFormatting sqref="A2:I2">
    <cfRule type="notContainsBlanks" dxfId="1" priority="1">
      <formula>LEN(TRIM(A2))&gt;0</formula>
    </cfRule>
  </conditionalFormatting>
  <dataValidations count="1">
    <dataValidation type="list" allowBlank="1" sqref="F3:F502" xr:uid="{00000000-0002-0000-0100-000001000000}">
      <formula1>"10,20,30,50,100,S2"</formula1>
    </dataValidation>
  </dataValidations>
  <hyperlinks>
    <hyperlink ref="D430" r:id="rId1" xr:uid="{6AF0DC28-F9F0-489A-A8D1-8F0F6808AF1C}"/>
    <hyperlink ref="D209" r:id="rId2" xr:uid="{A2694B24-06F1-4BDB-A9EF-F7A0F88C717D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FF00"/>
    <outlinePr summaryBelow="0" summaryRight="0"/>
  </sheetPr>
  <dimension ref="A1:U984"/>
  <sheetViews>
    <sheetView zoomScale="64" zoomScaleNormal="85" workbookViewId="0">
      <pane xSplit="2" ySplit="3" topLeftCell="C423" activePane="bottomRight" state="frozen"/>
      <selection pane="topRight" activeCell="C1" sqref="C1"/>
      <selection pane="bottomLeft" activeCell="A4" sqref="A4"/>
      <selection pane="bottomRight" activeCell="I499" sqref="I499"/>
    </sheetView>
  </sheetViews>
  <sheetFormatPr defaultColWidth="12.54296875" defaultRowHeight="15.75" customHeight="1" x14ac:dyDescent="0.25"/>
  <cols>
    <col min="1" max="1" width="1.81640625" customWidth="1"/>
    <col min="2" max="2" width="4.81640625" customWidth="1"/>
    <col min="3" max="3" width="16" customWidth="1"/>
    <col min="4" max="4" width="28.81640625" customWidth="1"/>
    <col min="5" max="5" width="17.1796875" customWidth="1"/>
    <col min="6" max="6" width="16" customWidth="1"/>
    <col min="9" max="9" width="18.08984375" customWidth="1"/>
    <col min="10" max="10" width="17.08984375" customWidth="1"/>
    <col min="12" max="12" width="17.81640625" customWidth="1"/>
    <col min="13" max="13" width="13.453125" customWidth="1"/>
    <col min="14" max="14" width="15" customWidth="1"/>
    <col min="15" max="15" width="4.54296875" customWidth="1"/>
    <col min="16" max="17" width="8.1796875" customWidth="1"/>
    <col min="18" max="18" width="21.81640625" customWidth="1"/>
    <col min="19" max="19" width="25.453125" customWidth="1"/>
    <col min="20" max="20" width="20.1796875" customWidth="1"/>
    <col min="21" max="21" width="19.6328125" style="54" customWidth="1"/>
  </cols>
  <sheetData>
    <row r="1" spans="1:21" ht="9" customHeight="1" x14ac:dyDescent="0.25">
      <c r="A1" s="6"/>
      <c r="B1" s="14"/>
      <c r="C1" s="14"/>
      <c r="D1" s="15"/>
      <c r="E1" s="14"/>
      <c r="F1" s="16"/>
      <c r="G1" s="16"/>
      <c r="H1" s="16"/>
      <c r="I1" s="16"/>
      <c r="J1" s="16"/>
      <c r="K1" s="16"/>
      <c r="L1" s="14"/>
      <c r="M1" s="16"/>
      <c r="N1" s="14"/>
      <c r="O1" s="6"/>
      <c r="P1" s="6"/>
      <c r="Q1" s="6"/>
    </row>
    <row r="2" spans="1:21" ht="20.25" customHeight="1" x14ac:dyDescent="0.25">
      <c r="A2" s="1"/>
      <c r="B2" s="87" t="s">
        <v>1</v>
      </c>
      <c r="C2" s="87" t="s">
        <v>2</v>
      </c>
      <c r="D2" s="87" t="s">
        <v>3</v>
      </c>
      <c r="E2" s="87" t="s">
        <v>4</v>
      </c>
      <c r="F2" s="85" t="s">
        <v>7</v>
      </c>
      <c r="G2" s="85" t="s">
        <v>512</v>
      </c>
      <c r="H2" s="88"/>
      <c r="I2" s="88"/>
      <c r="J2" s="88"/>
      <c r="K2" s="86"/>
      <c r="L2" s="87" t="s">
        <v>513</v>
      </c>
      <c r="M2" s="85" t="s">
        <v>503</v>
      </c>
      <c r="N2" s="86"/>
      <c r="O2" s="1"/>
      <c r="P2" s="1"/>
      <c r="Q2" s="1"/>
    </row>
    <row r="3" spans="1:21" ht="20.25" customHeight="1" x14ac:dyDescent="0.25">
      <c r="A3" s="1"/>
      <c r="B3" s="70"/>
      <c r="C3" s="70"/>
      <c r="D3" s="70"/>
      <c r="E3" s="70"/>
      <c r="F3" s="70"/>
      <c r="G3" s="18" t="s">
        <v>514</v>
      </c>
      <c r="H3" s="18" t="s">
        <v>515</v>
      </c>
      <c r="I3" s="18" t="s">
        <v>516</v>
      </c>
      <c r="J3" s="18" t="s">
        <v>517</v>
      </c>
      <c r="K3" s="18" t="s">
        <v>546</v>
      </c>
      <c r="L3" s="70"/>
      <c r="M3" s="18" t="s">
        <v>518</v>
      </c>
      <c r="N3" s="17" t="s">
        <v>519</v>
      </c>
      <c r="O3" s="1"/>
      <c r="P3" s="1"/>
      <c r="Q3" s="1"/>
    </row>
    <row r="4" spans="1:21" ht="12.75" customHeight="1" x14ac:dyDescent="0.3">
      <c r="A4" s="6"/>
      <c r="B4" s="19">
        <v>1</v>
      </c>
      <c r="C4" s="20" t="str">
        <f>NamaPelanggan!C3</f>
        <v>BLI-001</v>
      </c>
      <c r="D4" s="21" t="str">
        <f>NamaPelanggan!D3</f>
        <v>BAIHAKI</v>
      </c>
      <c r="E4" s="21" t="str">
        <f>NamaPelanggan!E3</f>
        <v>BLIMBINGSARI</v>
      </c>
      <c r="F4" s="23">
        <f>NamaPelanggan!H3</f>
        <v>100000</v>
      </c>
      <c r="G4" s="24"/>
      <c r="H4" s="24"/>
      <c r="I4" s="24">
        <v>100000</v>
      </c>
      <c r="J4" s="24"/>
      <c r="K4" s="24"/>
      <c r="L4" s="19" t="str">
        <f t="shared" ref="L4:L33" si="0">IF(SUM(G4:K4)&gt;0,"LUNAS","BELUM LUNAS")</f>
        <v>LUNAS</v>
      </c>
      <c r="M4" s="24"/>
      <c r="N4" s="22"/>
      <c r="O4" s="6"/>
      <c r="P4" s="6"/>
      <c r="Q4" s="6"/>
    </row>
    <row r="5" spans="1:21" ht="12.75" customHeight="1" x14ac:dyDescent="0.3">
      <c r="A5" s="6"/>
      <c r="B5" s="19">
        <v>2</v>
      </c>
      <c r="C5" s="20" t="str">
        <f>NamaPelanggan!C4</f>
        <v>BLI-002</v>
      </c>
      <c r="D5" s="21" t="str">
        <f>NamaPelanggan!D4</f>
        <v>BEDENG@BANANA</v>
      </c>
      <c r="E5" s="21" t="str">
        <f>NamaPelanggan!E4</f>
        <v>BLIMBINGSARI</v>
      </c>
      <c r="F5" s="23">
        <f>NamaPelanggan!H4</f>
        <v>100000</v>
      </c>
      <c r="G5" s="24"/>
      <c r="H5" s="24"/>
      <c r="I5" s="24">
        <v>100000</v>
      </c>
      <c r="J5" s="24"/>
      <c r="K5" s="24"/>
      <c r="L5" s="19" t="str">
        <f t="shared" si="0"/>
        <v>LUNAS</v>
      </c>
      <c r="M5" s="24"/>
      <c r="N5" s="22"/>
      <c r="O5" s="6"/>
      <c r="P5" s="6"/>
      <c r="Q5" s="6"/>
      <c r="R5">
        <f>COUNTIF(L4:L601,"LUNAS")</f>
        <v>413</v>
      </c>
    </row>
    <row r="6" spans="1:21" ht="12.75" customHeight="1" x14ac:dyDescent="0.3">
      <c r="A6" s="6"/>
      <c r="B6" s="19">
        <v>3</v>
      </c>
      <c r="C6" s="20" t="str">
        <f>NamaPelanggan!C5</f>
        <v>BLI-003</v>
      </c>
      <c r="D6" s="21" t="str">
        <f>NamaPelanggan!D5</f>
        <v>DITA@NOK</v>
      </c>
      <c r="E6" s="21" t="str">
        <f>NamaPelanggan!E5</f>
        <v>BLIMBINGSARI</v>
      </c>
      <c r="F6" s="23">
        <f>NamaPelanggan!H5</f>
        <v>100000</v>
      </c>
      <c r="G6" s="24"/>
      <c r="H6" s="24"/>
      <c r="I6" s="24">
        <v>100000</v>
      </c>
      <c r="J6" s="24"/>
      <c r="K6" s="24"/>
      <c r="L6" s="19" t="str">
        <f t="shared" si="0"/>
        <v>LUNAS</v>
      </c>
      <c r="M6" s="24"/>
      <c r="N6" s="22"/>
      <c r="O6" s="6"/>
      <c r="P6" s="6"/>
      <c r="Q6" s="6"/>
      <c r="R6">
        <f>COUNTIF(L4:L601,"BELUM LUNAS")</f>
        <v>85</v>
      </c>
      <c r="S6">
        <v>75</v>
      </c>
    </row>
    <row r="7" spans="1:21" ht="12.75" customHeight="1" x14ac:dyDescent="0.3">
      <c r="A7" s="6"/>
      <c r="B7" s="19">
        <v>4</v>
      </c>
      <c r="C7" s="20" t="str">
        <f>NamaPelanggan!C6</f>
        <v>BLI-004</v>
      </c>
      <c r="D7" s="21" t="str">
        <f>NamaPelanggan!D6</f>
        <v>FIKRISEI</v>
      </c>
      <c r="E7" s="21" t="str">
        <f>NamaPelanggan!E6</f>
        <v>BLIMBINGSARI</v>
      </c>
      <c r="F7" s="23">
        <f>NamaPelanggan!H6</f>
        <v>100000</v>
      </c>
      <c r="G7" s="24"/>
      <c r="H7" s="24"/>
      <c r="I7" s="24">
        <v>100000</v>
      </c>
      <c r="J7" s="24"/>
      <c r="K7" s="24"/>
      <c r="L7" s="19" t="str">
        <f t="shared" si="0"/>
        <v>LUNAS</v>
      </c>
      <c r="M7" s="24"/>
      <c r="N7" s="22"/>
      <c r="O7" s="6"/>
      <c r="P7" s="6"/>
      <c r="Q7" s="6"/>
    </row>
    <row r="8" spans="1:21" ht="12.75" customHeight="1" x14ac:dyDescent="0.3">
      <c r="A8" s="6"/>
      <c r="B8" s="19">
        <v>5</v>
      </c>
      <c r="C8" s="20" t="str">
        <f>NamaPelanggan!C7</f>
        <v>BLI-005</v>
      </c>
      <c r="D8" s="21" t="str">
        <f>NamaPelanggan!D7</f>
        <v>MISTARA@YONO</v>
      </c>
      <c r="E8" s="21" t="str">
        <f>NamaPelanggan!E7</f>
        <v>BLIMBINGSARI</v>
      </c>
      <c r="F8" s="23">
        <f>NamaPelanggan!H7</f>
        <v>100000</v>
      </c>
      <c r="G8" s="24"/>
      <c r="H8" s="24"/>
      <c r="I8" s="24">
        <v>100000</v>
      </c>
      <c r="J8" s="24"/>
      <c r="K8" s="24"/>
      <c r="L8" s="19" t="str">
        <f t="shared" si="0"/>
        <v>LUNAS</v>
      </c>
      <c r="M8" s="24"/>
      <c r="N8" s="22"/>
      <c r="O8" s="6"/>
      <c r="P8" s="6"/>
      <c r="Q8" s="6"/>
    </row>
    <row r="9" spans="1:21" ht="12.75" customHeight="1" x14ac:dyDescent="0.3">
      <c r="A9" s="6"/>
      <c r="B9" s="19">
        <v>6</v>
      </c>
      <c r="C9" s="20" t="str">
        <f>NamaPelanggan!C8</f>
        <v>BLI-006</v>
      </c>
      <c r="D9" s="21" t="str">
        <f>NamaPelanggan!D8</f>
        <v>NAFIZ@MI</v>
      </c>
      <c r="E9" s="21" t="str">
        <f>NamaPelanggan!E8</f>
        <v>BLIMBINGSARI</v>
      </c>
      <c r="F9" s="23">
        <f>NamaPelanggan!H8</f>
        <v>100000</v>
      </c>
      <c r="G9" s="24"/>
      <c r="H9" s="24"/>
      <c r="I9" s="24">
        <v>100000</v>
      </c>
      <c r="J9" s="24"/>
      <c r="K9" s="24"/>
      <c r="L9" s="19" t="str">
        <f t="shared" si="0"/>
        <v>LUNAS</v>
      </c>
      <c r="M9" s="24"/>
      <c r="N9" s="22"/>
      <c r="O9" s="6"/>
      <c r="P9" s="6"/>
      <c r="Q9" s="58" t="s">
        <v>1</v>
      </c>
      <c r="R9" s="59" t="s">
        <v>2</v>
      </c>
      <c r="S9" s="59" t="s">
        <v>3</v>
      </c>
      <c r="T9" s="59" t="s">
        <v>4</v>
      </c>
      <c r="U9" s="60" t="s">
        <v>588</v>
      </c>
    </row>
    <row r="10" spans="1:21" ht="12.75" customHeight="1" x14ac:dyDescent="0.3">
      <c r="A10" s="6"/>
      <c r="B10" s="19">
        <v>7</v>
      </c>
      <c r="C10" s="20" t="str">
        <f>NamaPelanggan!C9</f>
        <v>BLI-007</v>
      </c>
      <c r="D10" s="21" t="str">
        <f>NamaPelanggan!D9</f>
        <v>PETRUK</v>
      </c>
      <c r="E10" s="21" t="str">
        <f>NamaPelanggan!E9</f>
        <v>BLIMBINGSARI</v>
      </c>
      <c r="F10" s="23">
        <f>NamaPelanggan!H9</f>
        <v>100000</v>
      </c>
      <c r="G10" s="24"/>
      <c r="H10" s="24"/>
      <c r="I10" s="24">
        <v>200000</v>
      </c>
      <c r="J10" s="24"/>
      <c r="K10" s="24"/>
      <c r="L10" s="19" t="str">
        <f t="shared" si="0"/>
        <v>LUNAS</v>
      </c>
      <c r="M10" s="24"/>
      <c r="N10" s="22"/>
      <c r="O10" s="6"/>
      <c r="P10" s="6"/>
      <c r="Q10" s="42">
        <v>1</v>
      </c>
      <c r="R10" s="61" t="str" cm="1">
        <f t="array" ref="R10:R94">_xlfn._xlws.FILTER(C:C,L:L="BELUM LUNAS","")</f>
        <v>BLI-013</v>
      </c>
      <c r="S10" s="62" t="str" cm="1">
        <f t="array" ref="S10:S94">_xlfn._xlws.FILTER(D:D,L:L="BELUM LUNAS","Tidak AdA")</f>
        <v>elisha</v>
      </c>
      <c r="T10" s="61" t="str" cm="1">
        <f t="array" ref="T10:T94">_xlfn._xlws.FILTER(E:E,L:L="BELUM LUNAS","")</f>
        <v>BLIMBINGSARI</v>
      </c>
      <c r="U10" s="63" cm="1">
        <f t="array" ref="U10:U94">_xlfn._xlws.FILTER(M$1:M$65536,L$1:L$65536="BELUM LUNAS","")</f>
        <v>100000</v>
      </c>
    </row>
    <row r="11" spans="1:21" ht="12.75" customHeight="1" x14ac:dyDescent="0.3">
      <c r="A11" s="6"/>
      <c r="B11" s="19">
        <v>8</v>
      </c>
      <c r="C11" s="20" t="str">
        <f>NamaPelanggan!C10</f>
        <v>BLI-008</v>
      </c>
      <c r="D11" s="21" t="str">
        <f>NamaPelanggan!D10</f>
        <v>SABU</v>
      </c>
      <c r="E11" s="21" t="str">
        <f>NamaPelanggan!E10</f>
        <v>BLIMBINGSARI</v>
      </c>
      <c r="F11" s="23">
        <f>NamaPelanggan!H10</f>
        <v>100000</v>
      </c>
      <c r="G11" s="24"/>
      <c r="H11" s="24"/>
      <c r="I11" s="24">
        <v>100000</v>
      </c>
      <c r="J11" s="24"/>
      <c r="K11" s="24"/>
      <c r="L11" s="19" t="str">
        <f t="shared" si="0"/>
        <v>LUNAS</v>
      </c>
      <c r="M11" s="24"/>
      <c r="N11" s="22"/>
      <c r="O11" s="6"/>
      <c r="P11" s="6"/>
      <c r="Q11" s="42">
        <v>2</v>
      </c>
      <c r="R11" s="61" t="str">
        <v>BLI-018</v>
      </c>
      <c r="S11" s="61" t="str">
        <v>MES@BMT</v>
      </c>
      <c r="T11" s="61" t="str">
        <v>BLIMBINGSARI</v>
      </c>
      <c r="U11" s="63">
        <v>100000</v>
      </c>
    </row>
    <row r="12" spans="1:21" ht="12.75" customHeight="1" x14ac:dyDescent="0.3">
      <c r="A12" s="6"/>
      <c r="B12" s="19">
        <v>9</v>
      </c>
      <c r="C12" s="20" t="str">
        <f>NamaPelanggan!C11</f>
        <v>BLI-009</v>
      </c>
      <c r="D12" s="21" t="str">
        <f>NamaPelanggan!D11</f>
        <v>SAROH@ANDIK</v>
      </c>
      <c r="E12" s="21" t="str">
        <f>NamaPelanggan!E11</f>
        <v>BLIMBINGSARI</v>
      </c>
      <c r="F12" s="23">
        <f>NamaPelanggan!H11</f>
        <v>100000</v>
      </c>
      <c r="G12" s="24"/>
      <c r="H12" s="24"/>
      <c r="I12" s="24">
        <v>100000</v>
      </c>
      <c r="J12" s="24"/>
      <c r="K12" s="24"/>
      <c r="L12" s="19" t="str">
        <f t="shared" si="0"/>
        <v>LUNAS</v>
      </c>
      <c r="M12" s="24"/>
      <c r="N12" s="22"/>
      <c r="O12" s="6"/>
      <c r="P12" s="6"/>
      <c r="Q12" s="42">
        <v>3</v>
      </c>
      <c r="R12" s="61" t="str">
        <v>IDI-024</v>
      </c>
      <c r="S12" s="61" t="str">
        <v>ELOK</v>
      </c>
      <c r="T12" s="61" t="str">
        <v>IDINAN</v>
      </c>
      <c r="U12" s="63">
        <v>100000</v>
      </c>
    </row>
    <row r="13" spans="1:21" ht="12.75" customHeight="1" x14ac:dyDescent="0.3">
      <c r="A13" s="6"/>
      <c r="B13" s="19">
        <v>10</v>
      </c>
      <c r="C13" s="20" t="str">
        <f>NamaPelanggan!C12</f>
        <v>BLI-010</v>
      </c>
      <c r="D13" s="21" t="str">
        <f>NamaPelanggan!D12</f>
        <v>SUNARYU</v>
      </c>
      <c r="E13" s="21" t="str">
        <f>NamaPelanggan!E12</f>
        <v>BLIMBINGSARI</v>
      </c>
      <c r="F13" s="23">
        <f>NamaPelanggan!H12</f>
        <v>100000</v>
      </c>
      <c r="G13" s="24"/>
      <c r="H13" s="24"/>
      <c r="I13" s="24">
        <v>100000</v>
      </c>
      <c r="J13" s="24"/>
      <c r="K13" s="24"/>
      <c r="L13" s="19" t="str">
        <f t="shared" si="0"/>
        <v>LUNAS</v>
      </c>
      <c r="M13" s="24"/>
      <c r="N13" s="22"/>
      <c r="O13" s="6"/>
      <c r="P13" s="6"/>
      <c r="Q13" s="42">
        <v>4</v>
      </c>
      <c r="R13" s="61" t="str">
        <v>IDI-027</v>
      </c>
      <c r="S13" s="61" t="str">
        <v>HENDI@ULWIYA</v>
      </c>
      <c r="T13" s="61" t="str">
        <v>IDINAN</v>
      </c>
      <c r="U13" s="63">
        <v>100000</v>
      </c>
    </row>
    <row r="14" spans="1:21" ht="12.75" customHeight="1" x14ac:dyDescent="0.3">
      <c r="A14" s="6"/>
      <c r="B14" s="19">
        <v>11</v>
      </c>
      <c r="C14" s="20" t="str">
        <f>NamaPelanggan!C13</f>
        <v>BLI-011</v>
      </c>
      <c r="D14" s="21" t="str">
        <f>NamaPelanggan!D13</f>
        <v>lia muji</v>
      </c>
      <c r="E14" s="21" t="str">
        <f>NamaPelanggan!E13</f>
        <v>BLIMBINGSARI</v>
      </c>
      <c r="F14" s="23">
        <f>NamaPelanggan!H13</f>
        <v>100000</v>
      </c>
      <c r="G14" s="24"/>
      <c r="H14" s="24"/>
      <c r="I14" s="24">
        <v>200000</v>
      </c>
      <c r="J14" s="24"/>
      <c r="K14" s="24"/>
      <c r="L14" s="19" t="str">
        <f t="shared" si="0"/>
        <v>LUNAS</v>
      </c>
      <c r="M14" s="24"/>
      <c r="N14" s="22"/>
      <c r="O14" s="6"/>
      <c r="P14" s="6"/>
      <c r="Q14" s="42">
        <v>5</v>
      </c>
      <c r="R14" s="61" t="str">
        <v>IDI-028</v>
      </c>
      <c r="S14" s="61" t="str">
        <v>HOLIK</v>
      </c>
      <c r="T14" s="61" t="str">
        <v>IDINAN</v>
      </c>
      <c r="U14" s="63">
        <v>100000</v>
      </c>
    </row>
    <row r="15" spans="1:21" ht="12.75" customHeight="1" x14ac:dyDescent="0.3">
      <c r="A15" s="6"/>
      <c r="B15" s="19">
        <v>12</v>
      </c>
      <c r="C15" s="20" t="str">
        <f>NamaPelanggan!C14</f>
        <v>BLI-012</v>
      </c>
      <c r="D15" s="21" t="str">
        <f>NamaPelanggan!D14</f>
        <v>YUSUF</v>
      </c>
      <c r="E15" s="21" t="str">
        <f>NamaPelanggan!E14</f>
        <v>BLIMBINGSARI</v>
      </c>
      <c r="F15" s="23">
        <f>NamaPelanggan!H14</f>
        <v>100000</v>
      </c>
      <c r="G15" s="24"/>
      <c r="H15" s="24"/>
      <c r="I15" s="24">
        <v>100000</v>
      </c>
      <c r="J15" s="24"/>
      <c r="K15" s="24"/>
      <c r="L15" s="19" t="str">
        <f t="shared" si="0"/>
        <v>LUNAS</v>
      </c>
      <c r="M15" s="24"/>
      <c r="N15" s="22"/>
      <c r="O15" s="6"/>
      <c r="P15" s="6"/>
      <c r="Q15" s="42">
        <v>6</v>
      </c>
      <c r="R15" s="61" t="str">
        <v>IDI-043</v>
      </c>
      <c r="S15" s="61" t="str">
        <v>SOLFI@FERI</v>
      </c>
      <c r="T15" s="61" t="str">
        <v>IDINAN</v>
      </c>
      <c r="U15" s="63">
        <v>100000</v>
      </c>
    </row>
    <row r="16" spans="1:21" ht="12.75" customHeight="1" x14ac:dyDescent="0.3">
      <c r="A16" s="6"/>
      <c r="B16" s="19">
        <v>13</v>
      </c>
      <c r="C16" s="20" t="str">
        <f>NamaPelanggan!C15</f>
        <v>BLI-013</v>
      </c>
      <c r="D16" s="21" t="str">
        <f>NamaPelanggan!D15</f>
        <v>elisha</v>
      </c>
      <c r="E16" s="21" t="str">
        <f>NamaPelanggan!E15</f>
        <v>BLIMBINGSARI</v>
      </c>
      <c r="F16" s="23">
        <f>NamaPelanggan!H15</f>
        <v>100000</v>
      </c>
      <c r="G16" s="24"/>
      <c r="H16" s="24"/>
      <c r="I16" s="24"/>
      <c r="J16" s="24"/>
      <c r="K16" s="24"/>
      <c r="L16" s="19" t="str">
        <f t="shared" si="0"/>
        <v>BELUM LUNAS</v>
      </c>
      <c r="M16" s="24">
        <v>100000</v>
      </c>
      <c r="N16" s="22" t="s">
        <v>574</v>
      </c>
      <c r="O16" s="6"/>
      <c r="P16" s="6"/>
      <c r="Q16" s="42">
        <v>7</v>
      </c>
      <c r="R16" s="61" t="str">
        <v>IDI-061</v>
      </c>
      <c r="S16" s="61" t="str">
        <v>ARIP@AYUK</v>
      </c>
      <c r="T16" s="61" t="str">
        <v>IDINAN</v>
      </c>
      <c r="U16" s="63">
        <v>800000</v>
      </c>
    </row>
    <row r="17" spans="1:21" ht="12.75" customHeight="1" x14ac:dyDescent="0.3">
      <c r="A17" s="6"/>
      <c r="B17" s="19">
        <v>14</v>
      </c>
      <c r="C17" s="20" t="str">
        <f>NamaPelanggan!C16</f>
        <v>BLI-014</v>
      </c>
      <c r="D17" s="21" t="str">
        <f>NamaPelanggan!D16</f>
        <v>SANTI</v>
      </c>
      <c r="E17" s="21" t="str">
        <f>NamaPelanggan!E16</f>
        <v>BLIMBINGSARI</v>
      </c>
      <c r="F17" s="23">
        <f>NamaPelanggan!H16</f>
        <v>50000</v>
      </c>
      <c r="G17" s="24"/>
      <c r="H17" s="24"/>
      <c r="I17" s="24">
        <v>50000</v>
      </c>
      <c r="J17" s="24"/>
      <c r="K17" s="24"/>
      <c r="L17" s="19" t="str">
        <f t="shared" si="0"/>
        <v>LUNAS</v>
      </c>
      <c r="M17" s="24"/>
      <c r="N17" s="22"/>
      <c r="O17" s="6"/>
      <c r="P17" s="6"/>
      <c r="Q17" s="42">
        <v>8</v>
      </c>
      <c r="R17" s="61" t="str">
        <v>IDI-062</v>
      </c>
      <c r="S17" s="61" t="str">
        <v>DAYAT@BENGKEL</v>
      </c>
      <c r="T17" s="61" t="str">
        <v>IDINAN</v>
      </c>
      <c r="U17" s="63">
        <v>400000</v>
      </c>
    </row>
    <row r="18" spans="1:21" ht="12.75" customHeight="1" x14ac:dyDescent="0.3">
      <c r="A18" s="6"/>
      <c r="B18" s="19">
        <v>15</v>
      </c>
      <c r="C18" s="20" t="str">
        <f>NamaPelanggan!C17</f>
        <v>BLI-015</v>
      </c>
      <c r="D18" s="21" t="str">
        <f>NamaPelanggan!D17</f>
        <v>ROMI</v>
      </c>
      <c r="E18" s="21" t="str">
        <f>NamaPelanggan!E17</f>
        <v>BLIMBINGSARI</v>
      </c>
      <c r="F18" s="23">
        <f>NamaPelanggan!H17</f>
        <v>50000</v>
      </c>
      <c r="G18" s="24"/>
      <c r="H18" s="24"/>
      <c r="I18" s="24">
        <v>50000</v>
      </c>
      <c r="J18" s="24"/>
      <c r="K18" s="24"/>
      <c r="L18" s="19" t="str">
        <f t="shared" si="0"/>
        <v>LUNAS</v>
      </c>
      <c r="M18" s="24"/>
      <c r="N18" s="22"/>
      <c r="O18" s="6"/>
      <c r="P18" s="6"/>
      <c r="Q18" s="42">
        <v>9</v>
      </c>
      <c r="R18" s="61" t="str">
        <v>TAN-065</v>
      </c>
      <c r="S18" s="61" t="str">
        <v>ALIP@BINTANG</v>
      </c>
      <c r="T18" s="61" t="str">
        <v>TANAH LOS</v>
      </c>
      <c r="U18" s="63">
        <v>100000</v>
      </c>
    </row>
    <row r="19" spans="1:21" ht="12.75" customHeight="1" x14ac:dyDescent="0.3">
      <c r="A19" s="6"/>
      <c r="B19" s="19">
        <v>16</v>
      </c>
      <c r="C19" s="20" t="str">
        <f>NamaPelanggan!C18</f>
        <v>BLI-016</v>
      </c>
      <c r="D19" s="21" t="str">
        <f>NamaPelanggan!D18</f>
        <v>MI@SUNANGIRI</v>
      </c>
      <c r="E19" s="21" t="str">
        <f>NamaPelanggan!E18</f>
        <v>BLIMBINGSARI</v>
      </c>
      <c r="F19" s="23">
        <f>NamaPelanggan!H18</f>
        <v>50000</v>
      </c>
      <c r="G19" s="24"/>
      <c r="H19" s="24"/>
      <c r="I19" s="24">
        <v>100000</v>
      </c>
      <c r="J19" s="24"/>
      <c r="K19" s="24"/>
      <c r="L19" s="19" t="str">
        <f t="shared" si="0"/>
        <v>LUNAS</v>
      </c>
      <c r="M19" s="24"/>
      <c r="N19" s="22"/>
      <c r="O19" s="6"/>
      <c r="P19" s="6"/>
      <c r="Q19" s="42">
        <v>10</v>
      </c>
      <c r="R19" s="61" t="str">
        <v>TAN-066</v>
      </c>
      <c r="S19" s="61" t="str">
        <v>ANA@HAR</v>
      </c>
      <c r="T19" s="61" t="str">
        <v>TANAH LOS</v>
      </c>
      <c r="U19" s="63">
        <v>100000</v>
      </c>
    </row>
    <row r="20" spans="1:21" ht="12.75" customHeight="1" x14ac:dyDescent="0.3">
      <c r="A20" s="6"/>
      <c r="B20" s="19">
        <v>17</v>
      </c>
      <c r="C20" s="20" t="str">
        <f>NamaPelanggan!C19</f>
        <v>BLI-017</v>
      </c>
      <c r="D20" s="21" t="str">
        <f>NamaPelanggan!D19</f>
        <v>MES@BANANA</v>
      </c>
      <c r="E20" s="21" t="str">
        <f>NamaPelanggan!E19</f>
        <v>BLIMBINGSARI</v>
      </c>
      <c r="F20" s="23">
        <f>NamaPelanggan!H19</f>
        <v>100000</v>
      </c>
      <c r="G20" s="24"/>
      <c r="H20" s="24"/>
      <c r="I20" s="24">
        <v>100000</v>
      </c>
      <c r="J20" s="24"/>
      <c r="K20" s="24"/>
      <c r="L20" s="19" t="str">
        <f t="shared" si="0"/>
        <v>LUNAS</v>
      </c>
      <c r="M20" s="24"/>
      <c r="N20" s="22"/>
      <c r="O20" s="6"/>
      <c r="P20" s="6"/>
      <c r="Q20" s="42">
        <v>11</v>
      </c>
      <c r="R20" s="61" t="str">
        <v>TAN-069</v>
      </c>
      <c r="S20" s="61" t="str">
        <v>DIKI@HELMI</v>
      </c>
      <c r="T20" s="61" t="str">
        <v>TANAH LOS</v>
      </c>
      <c r="U20" s="63">
        <v>100000</v>
      </c>
    </row>
    <row r="21" spans="1:21" ht="12.75" customHeight="1" x14ac:dyDescent="0.3">
      <c r="A21" s="6"/>
      <c r="B21" s="19">
        <v>18</v>
      </c>
      <c r="C21" s="20" t="str">
        <f>NamaPelanggan!C20</f>
        <v>BLI-018</v>
      </c>
      <c r="D21" s="21" t="str">
        <f>NamaPelanggan!D20</f>
        <v>MES@BMT</v>
      </c>
      <c r="E21" s="21" t="str">
        <f>NamaPelanggan!E20</f>
        <v>BLIMBINGSARI</v>
      </c>
      <c r="F21" s="23">
        <f>NamaPelanggan!H20</f>
        <v>100000</v>
      </c>
      <c r="G21" s="24"/>
      <c r="H21" s="24"/>
      <c r="I21" s="24"/>
      <c r="J21" s="24"/>
      <c r="K21" s="24"/>
      <c r="L21" s="19" t="str">
        <f t="shared" si="0"/>
        <v>BELUM LUNAS</v>
      </c>
      <c r="M21" s="24">
        <v>100000</v>
      </c>
      <c r="N21" s="22" t="s">
        <v>450</v>
      </c>
      <c r="O21" s="6"/>
      <c r="P21" s="6"/>
      <c r="Q21" s="42">
        <v>12</v>
      </c>
      <c r="R21" s="61" t="str">
        <v>TAN-070</v>
      </c>
      <c r="S21" s="61" t="str">
        <v>selamet dinda / ima</v>
      </c>
      <c r="T21" s="61" t="str">
        <v>TANAH LOS</v>
      </c>
      <c r="U21" s="63">
        <v>100000</v>
      </c>
    </row>
    <row r="22" spans="1:21" ht="12.75" customHeight="1" x14ac:dyDescent="0.3">
      <c r="A22" s="6"/>
      <c r="B22" s="19">
        <v>19</v>
      </c>
      <c r="C22" s="20" t="str">
        <f>NamaPelanggan!C21</f>
        <v>IDI-019</v>
      </c>
      <c r="D22" s="21" t="str">
        <f>NamaPelanggan!D21</f>
        <v>AKBARR</v>
      </c>
      <c r="E22" s="21" t="str">
        <f>NamaPelanggan!E21</f>
        <v>IDINAN</v>
      </c>
      <c r="F22" s="23">
        <f>NamaPelanggan!H21</f>
        <v>100000</v>
      </c>
      <c r="G22" s="24"/>
      <c r="H22" s="24"/>
      <c r="I22" s="24">
        <v>100000</v>
      </c>
      <c r="J22" s="24"/>
      <c r="K22" s="24"/>
      <c r="L22" s="19" t="str">
        <f t="shared" si="0"/>
        <v>LUNAS</v>
      </c>
      <c r="M22" s="24"/>
      <c r="N22" s="22"/>
      <c r="O22" s="6"/>
      <c r="P22" s="6"/>
      <c r="Q22" s="42">
        <v>13</v>
      </c>
      <c r="R22" s="61" t="str">
        <v>TAN-094</v>
      </c>
      <c r="S22" s="61" t="str">
        <v>marcel</v>
      </c>
      <c r="T22" s="61" t="str">
        <v>TANAH LOS</v>
      </c>
      <c r="U22" s="63">
        <v>100000</v>
      </c>
    </row>
    <row r="23" spans="1:21" ht="12.75" customHeight="1" x14ac:dyDescent="0.3">
      <c r="A23" s="6"/>
      <c r="B23" s="19">
        <v>20</v>
      </c>
      <c r="C23" s="20" t="str">
        <f>NamaPelanggan!C22</f>
        <v>IDI-020</v>
      </c>
      <c r="D23" s="21" t="str">
        <f>NamaPelanggan!D22</f>
        <v>AKSORO</v>
      </c>
      <c r="E23" s="21" t="str">
        <f>NamaPelanggan!E22</f>
        <v>IDINAN</v>
      </c>
      <c r="F23" s="23">
        <f>NamaPelanggan!H22</f>
        <v>100000</v>
      </c>
      <c r="G23" s="24"/>
      <c r="H23" s="24"/>
      <c r="I23" s="24">
        <v>100000</v>
      </c>
      <c r="J23" s="24"/>
      <c r="K23" s="24"/>
      <c r="L23" s="19" t="str">
        <f t="shared" si="0"/>
        <v>LUNAS</v>
      </c>
      <c r="M23" s="24"/>
      <c r="N23" s="22"/>
      <c r="O23" s="6"/>
      <c r="P23" s="6"/>
      <c r="Q23" s="42">
        <v>14</v>
      </c>
      <c r="R23" s="61" t="str">
        <v>TAN-102</v>
      </c>
      <c r="S23" s="61" t="str">
        <v>SITISP</v>
      </c>
      <c r="T23" s="61" t="str">
        <v>TANAH LOS</v>
      </c>
      <c r="U23" s="63">
        <v>400000</v>
      </c>
    </row>
    <row r="24" spans="1:21" ht="12.75" customHeight="1" x14ac:dyDescent="0.3">
      <c r="A24" s="6"/>
      <c r="B24" s="19">
        <v>21</v>
      </c>
      <c r="C24" s="20" t="str">
        <f>NamaPelanggan!C23</f>
        <v>IDI-021</v>
      </c>
      <c r="D24" s="21" t="str">
        <f>NamaPelanggan!D23</f>
        <v>ALFI@SUN ( TERUSAN ) blimbing</v>
      </c>
      <c r="E24" s="21" t="str">
        <f>NamaPelanggan!E23</f>
        <v>IDINAN</v>
      </c>
      <c r="F24" s="23">
        <f>NamaPelanggan!H23</f>
        <v>100000</v>
      </c>
      <c r="G24" s="24"/>
      <c r="H24" s="24"/>
      <c r="I24" s="24">
        <v>100000</v>
      </c>
      <c r="J24" s="24"/>
      <c r="K24" s="24"/>
      <c r="L24" s="19" t="str">
        <f t="shared" si="0"/>
        <v>LUNAS</v>
      </c>
      <c r="M24" s="24"/>
      <c r="N24" s="22"/>
      <c r="O24" s="6"/>
      <c r="P24" s="6"/>
      <c r="Q24" s="42">
        <v>15</v>
      </c>
      <c r="R24" s="61" t="str">
        <v>JAM-116</v>
      </c>
      <c r="S24" s="61" t="str">
        <v>ERPAN</v>
      </c>
      <c r="T24" s="61" t="str">
        <v>JAMBU</v>
      </c>
      <c r="U24" s="63">
        <v>100000</v>
      </c>
    </row>
    <row r="25" spans="1:21" ht="12.75" customHeight="1" x14ac:dyDescent="0.3">
      <c r="A25" s="6"/>
      <c r="B25" s="19">
        <v>22</v>
      </c>
      <c r="C25" s="20" t="str">
        <f>NamaPelanggan!C24</f>
        <v>IDI-022</v>
      </c>
      <c r="D25" s="21" t="str">
        <f>NamaPelanggan!D24</f>
        <v>ASIS</v>
      </c>
      <c r="E25" s="21" t="str">
        <f>NamaPelanggan!E24</f>
        <v>IDINAN</v>
      </c>
      <c r="F25" s="23">
        <f>NamaPelanggan!H24</f>
        <v>100000</v>
      </c>
      <c r="G25" s="24"/>
      <c r="H25" s="24"/>
      <c r="I25" s="24">
        <v>100000</v>
      </c>
      <c r="J25" s="24"/>
      <c r="K25" s="24"/>
      <c r="L25" s="19" t="str">
        <f t="shared" si="0"/>
        <v>LUNAS</v>
      </c>
      <c r="M25" s="24"/>
      <c r="N25" s="22"/>
      <c r="O25" s="6"/>
      <c r="P25" s="6"/>
      <c r="Q25" s="42">
        <v>16</v>
      </c>
      <c r="R25" s="61" t="str">
        <v>JAM-122</v>
      </c>
      <c r="S25" s="61" t="str">
        <v>JONO@EVA</v>
      </c>
      <c r="T25" s="61" t="str">
        <v>JAMBU</v>
      </c>
      <c r="U25" s="63">
        <v>100000</v>
      </c>
    </row>
    <row r="26" spans="1:21" ht="12.75" customHeight="1" x14ac:dyDescent="0.3">
      <c r="A26" s="6"/>
      <c r="B26" s="19">
        <v>23</v>
      </c>
      <c r="C26" s="20" t="str">
        <f>NamaPelanggan!C25</f>
        <v>IDI-023</v>
      </c>
      <c r="D26" s="21" t="str">
        <f>NamaPelanggan!D25</f>
        <v>AYULESTARI</v>
      </c>
      <c r="E26" s="21" t="str">
        <f>NamaPelanggan!E25</f>
        <v>IDINAN</v>
      </c>
      <c r="F26" s="23">
        <f>NamaPelanggan!H25</f>
        <v>100000</v>
      </c>
      <c r="G26" s="24"/>
      <c r="H26" s="24"/>
      <c r="I26" s="24">
        <v>100000</v>
      </c>
      <c r="J26" s="24"/>
      <c r="K26" s="24"/>
      <c r="L26" s="19" t="str">
        <f t="shared" si="0"/>
        <v>LUNAS</v>
      </c>
      <c r="M26" s="24"/>
      <c r="N26" s="22"/>
      <c r="O26" s="6"/>
      <c r="P26" s="6"/>
      <c r="Q26" s="42">
        <v>17</v>
      </c>
      <c r="R26" s="61" t="str">
        <v>JAM-132</v>
      </c>
      <c r="S26" s="61" t="str">
        <v>PUTRIUNTUNG</v>
      </c>
      <c r="T26" s="61" t="str">
        <v>JAMBU</v>
      </c>
      <c r="U26" s="63">
        <v>100000</v>
      </c>
    </row>
    <row r="27" spans="1:21" ht="12.75" customHeight="1" x14ac:dyDescent="0.3">
      <c r="A27" s="6"/>
      <c r="B27" s="19">
        <v>24</v>
      </c>
      <c r="C27" s="20" t="str">
        <f>NamaPelanggan!C26</f>
        <v>IDI-024</v>
      </c>
      <c r="D27" s="21" t="str">
        <f>NamaPelanggan!D26</f>
        <v>ELOK</v>
      </c>
      <c r="E27" s="21" t="str">
        <f>NamaPelanggan!E26</f>
        <v>IDINAN</v>
      </c>
      <c r="F27" s="23">
        <f>NamaPelanggan!H26</f>
        <v>100000</v>
      </c>
      <c r="G27" s="24"/>
      <c r="H27" s="24"/>
      <c r="I27" s="24">
        <v>200000</v>
      </c>
      <c r="J27" s="24"/>
      <c r="K27" s="24"/>
      <c r="L27" s="19" t="s">
        <v>548</v>
      </c>
      <c r="M27" s="24">
        <v>100000</v>
      </c>
      <c r="N27" s="22" t="s">
        <v>549</v>
      </c>
      <c r="O27" s="6"/>
      <c r="P27" s="6"/>
      <c r="Q27" s="42">
        <v>18</v>
      </c>
      <c r="R27" s="61" t="str">
        <v>JAM-134</v>
      </c>
      <c r="S27" s="61" t="str">
        <v>RIRIN</v>
      </c>
      <c r="T27" s="61" t="str">
        <v>JAMBU</v>
      </c>
      <c r="U27" s="63">
        <v>100000</v>
      </c>
    </row>
    <row r="28" spans="1:21" ht="12.75" customHeight="1" x14ac:dyDescent="0.3">
      <c r="A28" s="6"/>
      <c r="B28" s="19">
        <v>25</v>
      </c>
      <c r="C28" s="20" t="str">
        <f>NamaPelanggan!C27</f>
        <v>IDI-025</v>
      </c>
      <c r="D28" s="21" t="str">
        <f>NamaPelanggan!D27</f>
        <v>FATUR</v>
      </c>
      <c r="E28" s="21" t="str">
        <f>NamaPelanggan!E27</f>
        <v>IDINAN</v>
      </c>
      <c r="F28" s="23">
        <f>NamaPelanggan!H27</f>
        <v>100000</v>
      </c>
      <c r="G28" s="24"/>
      <c r="H28" s="24"/>
      <c r="I28" s="24">
        <v>100000</v>
      </c>
      <c r="J28" s="24"/>
      <c r="K28" s="24"/>
      <c r="L28" s="19" t="str">
        <f t="shared" si="0"/>
        <v>LUNAS</v>
      </c>
      <c r="M28" s="24"/>
      <c r="N28" s="22"/>
      <c r="O28" s="6"/>
      <c r="P28" s="6"/>
      <c r="Q28" s="42">
        <v>19</v>
      </c>
      <c r="R28" s="61" t="str">
        <v>JAM-135</v>
      </c>
      <c r="S28" s="61" t="str">
        <v>SERATEM / chandra</v>
      </c>
      <c r="T28" s="61" t="str">
        <v>JAMBU</v>
      </c>
      <c r="U28" s="63">
        <v>100000</v>
      </c>
    </row>
    <row r="29" spans="1:21" ht="12.75" customHeight="1" x14ac:dyDescent="0.3">
      <c r="A29" s="6"/>
      <c r="B29" s="19">
        <v>26</v>
      </c>
      <c r="C29" s="20" t="str">
        <f>NamaPelanggan!C28</f>
        <v>IDI-026</v>
      </c>
      <c r="D29" s="21" t="str">
        <f>NamaPelanggan!D28</f>
        <v>FIRMAN@SUPENOK</v>
      </c>
      <c r="E29" s="21" t="str">
        <f>NamaPelanggan!E28</f>
        <v>IDINAN</v>
      </c>
      <c r="F29" s="23">
        <f>NamaPelanggan!H28</f>
        <v>100000</v>
      </c>
      <c r="G29" s="24"/>
      <c r="H29" s="24"/>
      <c r="I29" s="24">
        <v>100000</v>
      </c>
      <c r="J29" s="24"/>
      <c r="K29" s="24"/>
      <c r="L29" s="19" t="str">
        <f t="shared" si="0"/>
        <v>LUNAS</v>
      </c>
      <c r="M29" s="24"/>
      <c r="N29" s="22"/>
      <c r="O29" s="6"/>
      <c r="P29" s="6"/>
      <c r="Q29" s="42">
        <v>20</v>
      </c>
      <c r="R29" s="61" t="str">
        <v>JAM-145</v>
      </c>
      <c r="S29" s="61" t="str">
        <v>YURIS@ALVIN</v>
      </c>
      <c r="T29" s="61" t="str">
        <v>JAMBU</v>
      </c>
      <c r="U29" s="63">
        <v>100000</v>
      </c>
    </row>
    <row r="30" spans="1:21" ht="12.75" customHeight="1" x14ac:dyDescent="0.3">
      <c r="A30" s="6"/>
      <c r="B30" s="19">
        <v>27</v>
      </c>
      <c r="C30" s="20" t="str">
        <f>NamaPelanggan!C29</f>
        <v>IDI-027</v>
      </c>
      <c r="D30" s="21" t="str">
        <f>NamaPelanggan!D29</f>
        <v>HENDI@ULWIYA</v>
      </c>
      <c r="E30" s="21" t="str">
        <f>NamaPelanggan!E29</f>
        <v>IDINAN</v>
      </c>
      <c r="F30" s="23">
        <f>NamaPelanggan!H29</f>
        <v>100000</v>
      </c>
      <c r="G30" s="24"/>
      <c r="H30" s="24"/>
      <c r="I30" s="24"/>
      <c r="J30" s="24"/>
      <c r="K30" s="24"/>
      <c r="L30" s="19" t="str">
        <f t="shared" si="0"/>
        <v>BELUM LUNAS</v>
      </c>
      <c r="M30" s="24">
        <v>100000</v>
      </c>
      <c r="N30" s="22" t="s">
        <v>574</v>
      </c>
      <c r="O30" s="6"/>
      <c r="P30" s="6"/>
      <c r="Q30" s="42">
        <v>21</v>
      </c>
      <c r="R30" s="61" t="str">
        <v>JAM-181</v>
      </c>
      <c r="S30" s="61" t="str">
        <v>KORAMIL</v>
      </c>
      <c r="T30" s="61" t="str">
        <v>JAMBU</v>
      </c>
      <c r="U30" s="63">
        <v>50000</v>
      </c>
    </row>
    <row r="31" spans="1:21" ht="12.75" customHeight="1" x14ac:dyDescent="0.3">
      <c r="A31" s="6"/>
      <c r="B31" s="19">
        <v>28</v>
      </c>
      <c r="C31" s="20" t="str">
        <f>NamaPelanggan!C30</f>
        <v>IDI-028</v>
      </c>
      <c r="D31" s="21" t="str">
        <f>NamaPelanggan!D30</f>
        <v>HOLIK</v>
      </c>
      <c r="E31" s="21" t="str">
        <f>NamaPelanggan!E30</f>
        <v>IDINAN</v>
      </c>
      <c r="F31" s="23">
        <f>NamaPelanggan!H30</f>
        <v>100000</v>
      </c>
      <c r="G31" s="24"/>
      <c r="H31" s="24"/>
      <c r="I31" s="24"/>
      <c r="J31" s="24"/>
      <c r="K31" s="24"/>
      <c r="L31" s="19" t="str">
        <f t="shared" si="0"/>
        <v>BELUM LUNAS</v>
      </c>
      <c r="M31" s="24">
        <v>100000</v>
      </c>
      <c r="N31" s="22" t="s">
        <v>574</v>
      </c>
      <c r="O31" s="6"/>
      <c r="P31" s="6"/>
      <c r="Q31" s="42">
        <v>22</v>
      </c>
      <c r="R31" s="61" t="str">
        <v>JAM-189</v>
      </c>
      <c r="S31" s="61" t="str">
        <v>LURAH</v>
      </c>
      <c r="T31" s="61" t="str">
        <v>JAMBU</v>
      </c>
      <c r="U31" s="63">
        <v>500000</v>
      </c>
    </row>
    <row r="32" spans="1:21" ht="12.75" customHeight="1" x14ac:dyDescent="0.3">
      <c r="A32" s="6"/>
      <c r="B32" s="19">
        <v>29</v>
      </c>
      <c r="C32" s="20" t="str">
        <f>NamaPelanggan!C31</f>
        <v>IDI-029</v>
      </c>
      <c r="D32" s="21" t="str">
        <f>NamaPelanggan!D31</f>
        <v>OMAN</v>
      </c>
      <c r="E32" s="21" t="str">
        <f>NamaPelanggan!E31</f>
        <v>IDINAN</v>
      </c>
      <c r="F32" s="23">
        <f>NamaPelanggan!H31</f>
        <v>100000</v>
      </c>
      <c r="G32" s="24"/>
      <c r="H32" s="24"/>
      <c r="I32" s="24">
        <v>100000</v>
      </c>
      <c r="J32" s="24"/>
      <c r="K32" s="24"/>
      <c r="L32" s="19" t="str">
        <f t="shared" si="0"/>
        <v>LUNAS</v>
      </c>
      <c r="M32" s="24"/>
      <c r="N32" s="22"/>
      <c r="O32" s="6"/>
      <c r="P32" s="6"/>
      <c r="Q32" s="42">
        <v>23</v>
      </c>
      <c r="R32" s="61" t="str">
        <v>JAM-192</v>
      </c>
      <c r="S32" s="61" t="str">
        <v>DEOMAH@OSENG</v>
      </c>
      <c r="T32" s="61" t="str">
        <v>JAMBU</v>
      </c>
      <c r="U32" s="63">
        <v>600000</v>
      </c>
    </row>
    <row r="33" spans="1:21" ht="12.75" customHeight="1" x14ac:dyDescent="0.3">
      <c r="A33" s="6"/>
      <c r="B33" s="19">
        <v>30</v>
      </c>
      <c r="C33" s="20" t="str">
        <f>NamaPelanggan!C32</f>
        <v>IDI-030</v>
      </c>
      <c r="D33" s="21" t="str">
        <f>NamaPelanggan!D32</f>
        <v>ILHAM@OMAN</v>
      </c>
      <c r="E33" s="21" t="str">
        <f>NamaPelanggan!E32</f>
        <v>IDINAN</v>
      </c>
      <c r="F33" s="23">
        <f>NamaPelanggan!H32</f>
        <v>100000</v>
      </c>
      <c r="G33" s="24"/>
      <c r="H33" s="24"/>
      <c r="I33" s="24">
        <v>100000</v>
      </c>
      <c r="J33" s="24"/>
      <c r="K33" s="24"/>
      <c r="L33" s="19" t="str">
        <f t="shared" si="0"/>
        <v>LUNAS</v>
      </c>
      <c r="M33" s="24"/>
      <c r="N33" s="22"/>
      <c r="O33" s="6"/>
      <c r="P33" s="6"/>
      <c r="Q33" s="42">
        <v>24</v>
      </c>
      <c r="R33" s="61" t="str">
        <v>JAM-193</v>
      </c>
      <c r="S33" s="61" t="str">
        <v>AROMATIKA</v>
      </c>
      <c r="T33" s="61" t="str">
        <v>JAMBU</v>
      </c>
      <c r="U33" s="63">
        <v>200000</v>
      </c>
    </row>
    <row r="34" spans="1:21" ht="12.75" customHeight="1" x14ac:dyDescent="0.3">
      <c r="A34" s="6"/>
      <c r="B34" s="19">
        <v>31</v>
      </c>
      <c r="C34" s="20" t="str">
        <f>NamaPelanggan!C33</f>
        <v>IDI-031</v>
      </c>
      <c r="D34" s="21" t="str">
        <f>NamaPelanggan!D33</f>
        <v>JUNET@JUN</v>
      </c>
      <c r="E34" s="21" t="str">
        <f>NamaPelanggan!E33</f>
        <v>IDINAN</v>
      </c>
      <c r="F34" s="23">
        <f>NamaPelanggan!H33</f>
        <v>100000</v>
      </c>
      <c r="G34" s="24"/>
      <c r="H34" s="24"/>
      <c r="I34" s="24">
        <v>100000</v>
      </c>
      <c r="J34" s="24"/>
      <c r="K34" s="24"/>
      <c r="L34" s="19" t="str">
        <f t="shared" ref="L34:L65" si="1">IF(SUM(G34:K34)&gt;0,"LUNAS","BELUM LUNAS")</f>
        <v>LUNAS</v>
      </c>
      <c r="M34" s="24"/>
      <c r="N34" s="22"/>
      <c r="O34" s="6"/>
      <c r="P34" s="6"/>
      <c r="Q34" s="42">
        <v>25</v>
      </c>
      <c r="R34" s="61" t="str">
        <v>JAM-194</v>
      </c>
      <c r="S34" s="61" t="str">
        <v>P.YANI</v>
      </c>
      <c r="T34" s="61" t="str">
        <v>JAMBU</v>
      </c>
      <c r="U34" s="63">
        <v>100000</v>
      </c>
    </row>
    <row r="35" spans="1:21" ht="12.75" customHeight="1" x14ac:dyDescent="0.3">
      <c r="A35" s="6"/>
      <c r="B35" s="19">
        <v>32</v>
      </c>
      <c r="C35" s="20" t="str">
        <f>NamaPelanggan!C34</f>
        <v>IDI-032</v>
      </c>
      <c r="D35" s="21" t="str">
        <f>NamaPelanggan!D34</f>
        <v>MATTAIN</v>
      </c>
      <c r="E35" s="21" t="str">
        <f>NamaPelanggan!E34</f>
        <v>IDINAN</v>
      </c>
      <c r="F35" s="23">
        <f>NamaPelanggan!H34</f>
        <v>100000</v>
      </c>
      <c r="G35" s="24"/>
      <c r="H35" s="24"/>
      <c r="I35" s="24">
        <v>100000</v>
      </c>
      <c r="J35" s="24"/>
      <c r="K35" s="24"/>
      <c r="L35" s="19" t="str">
        <f t="shared" si="1"/>
        <v>LUNAS</v>
      </c>
      <c r="M35" s="24"/>
      <c r="N35" s="22"/>
      <c r="O35" s="6"/>
      <c r="P35" s="6"/>
      <c r="Q35" s="42">
        <v>26</v>
      </c>
      <c r="R35" s="61" t="str">
        <v>JAM-195</v>
      </c>
      <c r="S35" s="61" t="str">
        <v>PELANGI</v>
      </c>
      <c r="T35" s="61" t="str">
        <v>JAMBU</v>
      </c>
      <c r="U35" s="63">
        <v>100000</v>
      </c>
    </row>
    <row r="36" spans="1:21" ht="12.75" customHeight="1" x14ac:dyDescent="0.3">
      <c r="A36" s="6"/>
      <c r="B36" s="19">
        <v>33</v>
      </c>
      <c r="C36" s="20" t="str">
        <f>NamaPelanggan!C35</f>
        <v>IDI-033</v>
      </c>
      <c r="D36" s="21" t="str">
        <f>NamaPelanggan!D35</f>
        <v>LIAUDIK</v>
      </c>
      <c r="E36" s="21" t="str">
        <f>NamaPelanggan!E35</f>
        <v>IDINAN</v>
      </c>
      <c r="F36" s="23">
        <f>NamaPelanggan!H35</f>
        <v>100000</v>
      </c>
      <c r="G36" s="24"/>
      <c r="H36" s="24"/>
      <c r="I36" s="24">
        <v>100000</v>
      </c>
      <c r="J36" s="24"/>
      <c r="K36" s="24"/>
      <c r="L36" s="19" t="str">
        <f t="shared" si="1"/>
        <v>LUNAS</v>
      </c>
      <c r="M36" s="24"/>
      <c r="N36" s="22"/>
      <c r="O36" s="6"/>
      <c r="P36" s="6"/>
      <c r="Q36" s="42">
        <v>27</v>
      </c>
      <c r="R36" s="61" t="str">
        <v>JAM-196</v>
      </c>
      <c r="S36" s="61" t="str">
        <v>SDN4</v>
      </c>
      <c r="T36" s="61" t="str">
        <v>JAMBU</v>
      </c>
      <c r="U36" s="63">
        <v>750000</v>
      </c>
    </row>
    <row r="37" spans="1:21" ht="12.75" customHeight="1" x14ac:dyDescent="0.3">
      <c r="A37" s="6"/>
      <c r="B37" s="19">
        <v>34</v>
      </c>
      <c r="C37" s="20" t="str">
        <f>NamaPelanggan!C36</f>
        <v>IDI-034</v>
      </c>
      <c r="D37" s="21" t="str">
        <f>NamaPelanggan!D36</f>
        <v>LUTFI</v>
      </c>
      <c r="E37" s="21" t="str">
        <f>NamaPelanggan!E36</f>
        <v>IDINAN</v>
      </c>
      <c r="F37" s="23">
        <f>NamaPelanggan!H36</f>
        <v>100000</v>
      </c>
      <c r="G37" s="24"/>
      <c r="H37" s="24"/>
      <c r="I37" s="24">
        <v>100000</v>
      </c>
      <c r="J37" s="24"/>
      <c r="K37" s="24"/>
      <c r="L37" s="19" t="str">
        <f t="shared" si="1"/>
        <v>LUNAS</v>
      </c>
      <c r="M37" s="24"/>
      <c r="N37" s="22"/>
      <c r="O37" s="6"/>
      <c r="P37" s="6"/>
      <c r="Q37" s="42">
        <v>28</v>
      </c>
      <c r="R37" s="61" t="str">
        <v>JAM-197</v>
      </c>
      <c r="S37" s="61" t="str">
        <v>SUNOTOK</v>
      </c>
      <c r="T37" s="61" t="str">
        <v>JAMBU</v>
      </c>
      <c r="U37" s="63">
        <v>375000</v>
      </c>
    </row>
    <row r="38" spans="1:21" ht="12.75" customHeight="1" x14ac:dyDescent="0.3">
      <c r="A38" s="6"/>
      <c r="B38" s="19">
        <v>35</v>
      </c>
      <c r="C38" s="20" t="str">
        <f>NamaPelanggan!C37</f>
        <v>IDI-035</v>
      </c>
      <c r="D38" s="21" t="str">
        <f>NamaPelanggan!D37</f>
        <v>MARIMIN</v>
      </c>
      <c r="E38" s="21" t="str">
        <f>NamaPelanggan!E37</f>
        <v>IDINAN</v>
      </c>
      <c r="F38" s="23">
        <f>NamaPelanggan!H37</f>
        <v>100000</v>
      </c>
      <c r="G38" s="24"/>
      <c r="H38" s="24"/>
      <c r="I38" s="24">
        <v>100000</v>
      </c>
      <c r="J38" s="24"/>
      <c r="K38" s="24"/>
      <c r="L38" s="19" t="str">
        <f t="shared" si="1"/>
        <v>LUNAS</v>
      </c>
      <c r="M38" s="24"/>
      <c r="N38" s="22"/>
      <c r="O38" s="6"/>
      <c r="P38" s="6"/>
      <c r="Q38" s="42">
        <v>29</v>
      </c>
      <c r="R38" s="61" t="str">
        <v>JAM-200</v>
      </c>
      <c r="S38" s="61" t="str">
        <v>SUYONO/ susiyono</v>
      </c>
      <c r="T38" s="61" t="str">
        <v>JAMBU</v>
      </c>
      <c r="U38" s="63">
        <v>75000</v>
      </c>
    </row>
    <row r="39" spans="1:21" ht="12.75" customHeight="1" x14ac:dyDescent="0.3">
      <c r="A39" s="6"/>
      <c r="B39" s="19">
        <v>36</v>
      </c>
      <c r="C39" s="20" t="str">
        <f>NamaPelanggan!C38</f>
        <v>IDI-036</v>
      </c>
      <c r="D39" s="21" t="str">
        <f>NamaPelanggan!D38</f>
        <v>OPIK</v>
      </c>
      <c r="E39" s="21" t="str">
        <f>NamaPelanggan!E38</f>
        <v>IDINAN</v>
      </c>
      <c r="F39" s="23">
        <f>NamaPelanggan!H38</f>
        <v>100000</v>
      </c>
      <c r="G39" s="24"/>
      <c r="H39" s="24"/>
      <c r="I39" s="24">
        <v>200000</v>
      </c>
      <c r="J39" s="24"/>
      <c r="K39" s="24"/>
      <c r="L39" s="19" t="str">
        <f t="shared" si="1"/>
        <v>LUNAS</v>
      </c>
      <c r="M39" s="24">
        <v>100000</v>
      </c>
      <c r="N39" s="22" t="s">
        <v>549</v>
      </c>
      <c r="O39" s="6"/>
      <c r="P39" s="6"/>
      <c r="Q39" s="42">
        <v>30</v>
      </c>
      <c r="R39" s="61" t="str">
        <v>JAM-201</v>
      </c>
      <c r="S39" s="61" t="str">
        <v>OOT@JIDAN</v>
      </c>
      <c r="T39" s="61" t="str">
        <v>JAMBU</v>
      </c>
      <c r="U39" s="63">
        <v>100000</v>
      </c>
    </row>
    <row r="40" spans="1:21" ht="12.75" customHeight="1" x14ac:dyDescent="0.3">
      <c r="A40" s="6"/>
      <c r="B40" s="19">
        <v>37</v>
      </c>
      <c r="C40" s="20" t="str">
        <f>NamaPelanggan!C39</f>
        <v>IDI-037</v>
      </c>
      <c r="D40" s="21" t="str">
        <f>NamaPelanggan!D39</f>
        <v>P.ARI</v>
      </c>
      <c r="E40" s="21" t="str">
        <f>NamaPelanggan!E39</f>
        <v>IDINAN</v>
      </c>
      <c r="F40" s="23">
        <f>NamaPelanggan!H39</f>
        <v>100000</v>
      </c>
      <c r="G40" s="24"/>
      <c r="H40" s="24"/>
      <c r="I40" s="24">
        <v>100000</v>
      </c>
      <c r="J40" s="24"/>
      <c r="K40" s="24"/>
      <c r="L40" s="19" t="str">
        <f t="shared" si="1"/>
        <v>LUNAS</v>
      </c>
      <c r="M40" s="24"/>
      <c r="N40" s="22"/>
      <c r="O40" s="6"/>
      <c r="P40" s="6"/>
      <c r="Q40" s="42">
        <v>31</v>
      </c>
      <c r="R40" s="61" t="str">
        <v>AMP-208</v>
      </c>
      <c r="S40" s="61" t="str">
        <v>ADIT</v>
      </c>
      <c r="T40" s="61" t="str">
        <v>AMPELGADING</v>
      </c>
      <c r="U40" s="63">
        <v>100000</v>
      </c>
    </row>
    <row r="41" spans="1:21" ht="12.75" customHeight="1" x14ac:dyDescent="0.3">
      <c r="A41" s="6"/>
      <c r="B41" s="19">
        <v>38</v>
      </c>
      <c r="C41" s="20" t="str">
        <f>NamaPelanggan!C40</f>
        <v>IDI-038</v>
      </c>
      <c r="D41" s="21" t="str">
        <f>NamaPelanggan!D40</f>
        <v>P.LULUK@IDINAN</v>
      </c>
      <c r="E41" s="21" t="str">
        <f>NamaPelanggan!E40</f>
        <v>IDINAN</v>
      </c>
      <c r="F41" s="23">
        <f>NamaPelanggan!H40</f>
        <v>100000</v>
      </c>
      <c r="G41" s="24"/>
      <c r="H41" s="24"/>
      <c r="I41" s="24">
        <v>100000</v>
      </c>
      <c r="J41" s="24"/>
      <c r="K41" s="24"/>
      <c r="L41" s="19" t="str">
        <f t="shared" si="1"/>
        <v>LUNAS</v>
      </c>
      <c r="M41" s="24"/>
      <c r="N41" s="22"/>
      <c r="O41" s="6"/>
      <c r="P41" s="6"/>
      <c r="Q41" s="42">
        <v>32</v>
      </c>
      <c r="R41" s="61" t="str">
        <v>AMP-210</v>
      </c>
      <c r="S41" s="61" t="str">
        <v>B.IPUL</v>
      </c>
      <c r="T41" s="61" t="str">
        <v>AMPELGADING</v>
      </c>
      <c r="U41" s="63">
        <v>100000</v>
      </c>
    </row>
    <row r="42" spans="1:21" ht="12.75" customHeight="1" x14ac:dyDescent="0.3">
      <c r="A42" s="6"/>
      <c r="B42" s="19">
        <v>39</v>
      </c>
      <c r="C42" s="20" t="str">
        <f>NamaPelanggan!C41</f>
        <v>IDI-039</v>
      </c>
      <c r="D42" s="21" t="str">
        <f>NamaPelanggan!D41</f>
        <v>P.MIKO</v>
      </c>
      <c r="E42" s="21" t="str">
        <f>NamaPelanggan!E41</f>
        <v>IDINAN</v>
      </c>
      <c r="F42" s="23">
        <f>NamaPelanggan!H41</f>
        <v>100000</v>
      </c>
      <c r="G42" s="24"/>
      <c r="H42" s="24"/>
      <c r="I42" s="24">
        <v>100000</v>
      </c>
      <c r="J42" s="24"/>
      <c r="K42" s="24"/>
      <c r="L42" s="19" t="str">
        <f t="shared" si="1"/>
        <v>LUNAS</v>
      </c>
      <c r="M42" s="24"/>
      <c r="N42" s="22"/>
      <c r="O42" s="6"/>
      <c r="P42" s="6"/>
      <c r="Q42" s="42">
        <v>33</v>
      </c>
      <c r="R42" s="61" t="str">
        <v>AMP-213</v>
      </c>
      <c r="S42" s="61" t="str">
        <v>DYAN@SARI</v>
      </c>
      <c r="T42" s="61" t="str">
        <v>AMPELGADING</v>
      </c>
      <c r="U42" s="63">
        <v>100000</v>
      </c>
    </row>
    <row r="43" spans="1:21" ht="12.75" customHeight="1" x14ac:dyDescent="0.3">
      <c r="A43" s="6"/>
      <c r="B43" s="19">
        <v>40</v>
      </c>
      <c r="C43" s="20" t="str">
        <f>NamaPelanggan!C42</f>
        <v>IDI-040</v>
      </c>
      <c r="D43" s="21" t="str">
        <f>NamaPelanggan!D42</f>
        <v>P.RIBUT</v>
      </c>
      <c r="E43" s="21" t="str">
        <f>NamaPelanggan!E42</f>
        <v>IDINAN</v>
      </c>
      <c r="F43" s="23">
        <f>NamaPelanggan!H42</f>
        <v>100000</v>
      </c>
      <c r="G43" s="24"/>
      <c r="H43" s="24"/>
      <c r="I43" s="24">
        <v>100000</v>
      </c>
      <c r="J43" s="24"/>
      <c r="K43" s="24"/>
      <c r="L43" s="19" t="str">
        <f t="shared" si="1"/>
        <v>LUNAS</v>
      </c>
      <c r="M43" s="24"/>
      <c r="N43" s="22"/>
      <c r="O43" s="6"/>
      <c r="P43" s="6"/>
      <c r="Q43" s="42">
        <v>34</v>
      </c>
      <c r="R43" s="61" t="str">
        <v>AMP-222</v>
      </c>
      <c r="S43" s="61" t="str">
        <v>IPUNK</v>
      </c>
      <c r="T43" s="61" t="str">
        <v>AMPELGADING</v>
      </c>
      <c r="U43" s="63">
        <v>100000</v>
      </c>
    </row>
    <row r="44" spans="1:21" ht="12.75" customHeight="1" x14ac:dyDescent="0.3">
      <c r="A44" s="6"/>
      <c r="B44" s="19">
        <v>41</v>
      </c>
      <c r="C44" s="20" t="str">
        <f>NamaPelanggan!C43</f>
        <v>IDI-041</v>
      </c>
      <c r="D44" s="21" t="str">
        <f>NamaPelanggan!D43</f>
        <v>SAGIMAN</v>
      </c>
      <c r="E44" s="21" t="str">
        <f>NamaPelanggan!E43</f>
        <v>IDINAN</v>
      </c>
      <c r="F44" s="23">
        <f>NamaPelanggan!H43</f>
        <v>100000</v>
      </c>
      <c r="G44" s="24"/>
      <c r="H44" s="24"/>
      <c r="I44" s="24">
        <v>100000</v>
      </c>
      <c r="J44" s="24"/>
      <c r="K44" s="24"/>
      <c r="L44" s="19" t="str">
        <f t="shared" si="1"/>
        <v>LUNAS</v>
      </c>
      <c r="M44" s="24"/>
      <c r="N44" s="22"/>
      <c r="O44" s="6"/>
      <c r="P44" s="6"/>
      <c r="Q44" s="42">
        <v>35</v>
      </c>
      <c r="R44" s="61" t="str">
        <v>AMP-224</v>
      </c>
      <c r="S44" s="61" t="str">
        <v>JEN</v>
      </c>
      <c r="T44" s="61" t="str">
        <v>AMPELGADING</v>
      </c>
      <c r="U44" s="63">
        <v>100000</v>
      </c>
    </row>
    <row r="45" spans="1:21" ht="12.75" customHeight="1" x14ac:dyDescent="0.3">
      <c r="A45" s="6"/>
      <c r="B45" s="19">
        <v>42</v>
      </c>
      <c r="C45" s="20" t="str">
        <f>NamaPelanggan!C44</f>
        <v>IDI-042</v>
      </c>
      <c r="D45" s="21" t="str">
        <f>NamaPelanggan!D44</f>
        <v>SAIPUL@PAKLUS</v>
      </c>
      <c r="E45" s="21" t="str">
        <f>NamaPelanggan!E44</f>
        <v>IDINAN</v>
      </c>
      <c r="F45" s="23">
        <f>NamaPelanggan!H44</f>
        <v>100000</v>
      </c>
      <c r="G45" s="24"/>
      <c r="H45" s="24"/>
      <c r="I45" s="24">
        <v>100000</v>
      </c>
      <c r="J45" s="24"/>
      <c r="K45" s="24"/>
      <c r="L45" s="19" t="str">
        <f t="shared" si="1"/>
        <v>LUNAS</v>
      </c>
      <c r="M45" s="24"/>
      <c r="N45" s="22"/>
      <c r="O45" s="6"/>
      <c r="P45" s="6"/>
      <c r="Q45" s="42">
        <v>36</v>
      </c>
      <c r="R45" s="61" t="str">
        <v>AMP-228</v>
      </c>
      <c r="S45" s="61" t="str">
        <v>MISNUR / IYAN</v>
      </c>
      <c r="T45" s="61" t="str">
        <v>AMPELGADING</v>
      </c>
      <c r="U45" s="63">
        <v>100000</v>
      </c>
    </row>
    <row r="46" spans="1:21" ht="12.75" customHeight="1" x14ac:dyDescent="0.3">
      <c r="A46" s="6"/>
      <c r="B46" s="19">
        <v>43</v>
      </c>
      <c r="C46" s="20" t="str">
        <f>NamaPelanggan!C45</f>
        <v>IDI-043</v>
      </c>
      <c r="D46" s="21" t="str">
        <f>NamaPelanggan!D45</f>
        <v>SOLFI@FERI</v>
      </c>
      <c r="E46" s="21" t="str">
        <f>NamaPelanggan!E45</f>
        <v>IDINAN</v>
      </c>
      <c r="F46" s="23">
        <f>NamaPelanggan!H45</f>
        <v>100000</v>
      </c>
      <c r="G46" s="24"/>
      <c r="H46" s="24"/>
      <c r="I46" s="24"/>
      <c r="J46" s="24"/>
      <c r="K46" s="24"/>
      <c r="L46" s="19" t="str">
        <f t="shared" si="1"/>
        <v>BELUM LUNAS</v>
      </c>
      <c r="M46" s="24">
        <v>100000</v>
      </c>
      <c r="N46" s="22" t="s">
        <v>574</v>
      </c>
      <c r="O46" s="6"/>
      <c r="P46" s="6"/>
      <c r="Q46" s="42">
        <v>37</v>
      </c>
      <c r="R46" s="61" t="str">
        <v>AMP-230</v>
      </c>
      <c r="S46" s="61" t="str">
        <v>P.RIS@AYUK</v>
      </c>
      <c r="T46" s="61" t="str">
        <v>AMPELGADING</v>
      </c>
      <c r="U46" s="63">
        <v>100000</v>
      </c>
    </row>
    <row r="47" spans="1:21" ht="12.75" customHeight="1" x14ac:dyDescent="0.3">
      <c r="A47" s="6"/>
      <c r="B47" s="19">
        <v>44</v>
      </c>
      <c r="C47" s="20" t="str">
        <f>NamaPelanggan!C46</f>
        <v>IDI-044</v>
      </c>
      <c r="D47" s="21" t="str">
        <f>NamaPelanggan!D46</f>
        <v>SAHNAN</v>
      </c>
      <c r="E47" s="21" t="str">
        <f>NamaPelanggan!E46</f>
        <v>IDINAN</v>
      </c>
      <c r="F47" s="23">
        <f>NamaPelanggan!H46</f>
        <v>100000</v>
      </c>
      <c r="G47" s="24"/>
      <c r="H47" s="24"/>
      <c r="I47" s="24">
        <v>100000</v>
      </c>
      <c r="J47" s="24"/>
      <c r="K47" s="24"/>
      <c r="L47" s="19" t="str">
        <f t="shared" si="1"/>
        <v>LUNAS</v>
      </c>
      <c r="M47" s="24"/>
      <c r="N47" s="22"/>
      <c r="O47" s="6"/>
      <c r="P47" s="6"/>
      <c r="Q47" s="42">
        <v>38</v>
      </c>
      <c r="R47" s="61" t="str">
        <v>AMP-233</v>
      </c>
      <c r="S47" s="61" t="str">
        <v>RAMA</v>
      </c>
      <c r="T47" s="61" t="str">
        <v>AMPELGADING</v>
      </c>
      <c r="U47" s="63">
        <v>100000</v>
      </c>
    </row>
    <row r="48" spans="1:21" ht="12.75" customHeight="1" x14ac:dyDescent="0.3">
      <c r="A48" s="6"/>
      <c r="B48" s="19">
        <v>45</v>
      </c>
      <c r="C48" s="20" t="str">
        <f>NamaPelanggan!C47</f>
        <v>IDI-045</v>
      </c>
      <c r="D48" s="21" t="str">
        <f>NamaPelanggan!D47</f>
        <v>SURAJI</v>
      </c>
      <c r="E48" s="21" t="str">
        <f>NamaPelanggan!E47</f>
        <v>IDINAN</v>
      </c>
      <c r="F48" s="23">
        <f>NamaPelanggan!H47</f>
        <v>100000</v>
      </c>
      <c r="G48" s="24"/>
      <c r="H48" s="24"/>
      <c r="I48" s="24">
        <v>100000</v>
      </c>
      <c r="J48" s="24"/>
      <c r="K48" s="24"/>
      <c r="L48" s="19" t="str">
        <f t="shared" si="1"/>
        <v>LUNAS</v>
      </c>
      <c r="M48" s="24"/>
      <c r="N48" s="22"/>
      <c r="O48" s="6"/>
      <c r="P48" s="6"/>
      <c r="Q48" s="42">
        <v>39</v>
      </c>
      <c r="R48" s="61" t="str">
        <v>AMP-242</v>
      </c>
      <c r="S48" s="61" t="str">
        <v>TO</v>
      </c>
      <c r="T48" s="61" t="str">
        <v>AMPELGADING</v>
      </c>
      <c r="U48" s="63">
        <v>100000</v>
      </c>
    </row>
    <row r="49" spans="1:21" ht="12.75" customHeight="1" x14ac:dyDescent="0.3">
      <c r="A49" s="6"/>
      <c r="B49" s="19">
        <v>46</v>
      </c>
      <c r="C49" s="20" t="str">
        <f>NamaPelanggan!C48</f>
        <v>IDI-046</v>
      </c>
      <c r="D49" s="21" t="str">
        <f>NamaPelanggan!D48</f>
        <v>SUS@BENGKEL</v>
      </c>
      <c r="E49" s="21" t="str">
        <f>NamaPelanggan!E48</f>
        <v>IDINAN</v>
      </c>
      <c r="F49" s="23">
        <f>NamaPelanggan!H48</f>
        <v>100000</v>
      </c>
      <c r="G49" s="24"/>
      <c r="H49" s="24"/>
      <c r="I49" s="24">
        <v>100000</v>
      </c>
      <c r="J49" s="24"/>
      <c r="K49" s="24"/>
      <c r="L49" s="19" t="str">
        <f t="shared" si="1"/>
        <v>LUNAS</v>
      </c>
      <c r="M49" s="24"/>
      <c r="N49" s="22"/>
      <c r="O49" s="6"/>
      <c r="P49" s="6"/>
      <c r="Q49" s="42">
        <v>40</v>
      </c>
      <c r="R49" s="61" t="str">
        <v>AMP-247</v>
      </c>
      <c r="S49" s="61" t="str">
        <v>asmiati/HABIL</v>
      </c>
      <c r="T49" s="61" t="str">
        <v>AMPELGADING</v>
      </c>
      <c r="U49" s="63">
        <v>100000</v>
      </c>
    </row>
    <row r="50" spans="1:21" ht="12.75" customHeight="1" x14ac:dyDescent="0.3">
      <c r="A50" s="6"/>
      <c r="B50" s="19">
        <v>47</v>
      </c>
      <c r="C50" s="20" t="str">
        <f>NamaPelanggan!C49</f>
        <v>IDI-047</v>
      </c>
      <c r="D50" s="21" t="str">
        <f>NamaPelanggan!D49</f>
        <v>SUS@FITRI</v>
      </c>
      <c r="E50" s="21" t="str">
        <f>NamaPelanggan!E49</f>
        <v>IDINAN</v>
      </c>
      <c r="F50" s="23">
        <f>NamaPelanggan!H49</f>
        <v>100000</v>
      </c>
      <c r="G50" s="24"/>
      <c r="H50" s="24"/>
      <c r="I50" s="24">
        <v>100000</v>
      </c>
      <c r="J50" s="24"/>
      <c r="K50" s="24"/>
      <c r="L50" s="19" t="str">
        <f t="shared" si="1"/>
        <v>LUNAS</v>
      </c>
      <c r="M50" s="24"/>
      <c r="N50" s="22"/>
      <c r="O50" s="6"/>
      <c r="P50" s="6"/>
      <c r="Q50" s="42">
        <v>41</v>
      </c>
      <c r="R50" s="61" t="str">
        <v>AMP-251</v>
      </c>
      <c r="S50" s="61" t="str">
        <v>Arin</v>
      </c>
      <c r="T50" s="61" t="str">
        <v>ampelgading</v>
      </c>
      <c r="U50" s="63">
        <v>100000</v>
      </c>
    </row>
    <row r="51" spans="1:21" ht="12.75" customHeight="1" x14ac:dyDescent="0.3">
      <c r="A51" s="6"/>
      <c r="B51" s="19">
        <v>48</v>
      </c>
      <c r="C51" s="20" t="str">
        <f>NamaPelanggan!C50</f>
        <v>IDI-048</v>
      </c>
      <c r="D51" s="21" t="str">
        <f>NamaPelanggan!D50</f>
        <v>SUTIK@IKROM</v>
      </c>
      <c r="E51" s="21" t="str">
        <f>NamaPelanggan!E50</f>
        <v>IDINAN</v>
      </c>
      <c r="F51" s="23">
        <f>NamaPelanggan!H50</f>
        <v>100000</v>
      </c>
      <c r="G51" s="24"/>
      <c r="H51" s="24"/>
      <c r="I51" s="24">
        <v>100000</v>
      </c>
      <c r="J51" s="24"/>
      <c r="K51" s="24"/>
      <c r="L51" s="19" t="str">
        <f t="shared" si="1"/>
        <v>LUNAS</v>
      </c>
      <c r="M51" s="24"/>
      <c r="N51" s="22"/>
      <c r="O51" s="6"/>
      <c r="P51" s="6"/>
      <c r="Q51" s="42">
        <v>42</v>
      </c>
      <c r="R51" s="61" t="str">
        <v>AMP-254</v>
      </c>
      <c r="S51" s="61" t="str">
        <v>nanik uus</v>
      </c>
      <c r="T51" s="61" t="str">
        <v>AMPELGADING</v>
      </c>
      <c r="U51" s="63">
        <v>100000</v>
      </c>
    </row>
    <row r="52" spans="1:21" ht="12.75" customHeight="1" x14ac:dyDescent="0.3">
      <c r="A52" s="6"/>
      <c r="B52" s="19">
        <v>49</v>
      </c>
      <c r="C52" s="20" t="str">
        <f>NamaPelanggan!C51</f>
        <v>IDI-049</v>
      </c>
      <c r="D52" s="21" t="str">
        <f>NamaPelanggan!D51</f>
        <v>SUTRIS@TIA</v>
      </c>
      <c r="E52" s="21" t="str">
        <f>NamaPelanggan!E51</f>
        <v>IDINAN</v>
      </c>
      <c r="F52" s="23">
        <f>NamaPelanggan!H51</f>
        <v>100000</v>
      </c>
      <c r="G52" s="24"/>
      <c r="H52" s="24"/>
      <c r="I52" s="24">
        <v>100000</v>
      </c>
      <c r="J52" s="24"/>
      <c r="K52" s="24"/>
      <c r="L52" s="19" t="str">
        <f t="shared" si="1"/>
        <v>LUNAS</v>
      </c>
      <c r="M52" s="24"/>
      <c r="N52" s="22"/>
      <c r="O52" s="6"/>
      <c r="P52" s="6"/>
      <c r="Q52" s="42">
        <v>43</v>
      </c>
      <c r="R52" s="61" t="str">
        <v>AMP-256</v>
      </c>
      <c r="S52" s="61" t="str">
        <v>NITA@AGUS</v>
      </c>
      <c r="T52" s="61" t="str">
        <v>AMPELGADING</v>
      </c>
      <c r="U52" s="63">
        <v>100000</v>
      </c>
    </row>
    <row r="53" spans="1:21" ht="12.75" customHeight="1" x14ac:dyDescent="0.3">
      <c r="A53" s="6"/>
      <c r="B53" s="19">
        <v>50</v>
      </c>
      <c r="C53" s="20" t="str">
        <f>NamaPelanggan!C52</f>
        <v>IDI-050</v>
      </c>
      <c r="D53" s="21" t="str">
        <f>NamaPelanggan!D52</f>
        <v>TRIAS</v>
      </c>
      <c r="E53" s="21" t="str">
        <f>NamaPelanggan!E52</f>
        <v>IDINAN</v>
      </c>
      <c r="F53" s="23">
        <f>NamaPelanggan!H52</f>
        <v>100000</v>
      </c>
      <c r="G53" s="24"/>
      <c r="H53" s="24"/>
      <c r="I53" s="24">
        <v>100000</v>
      </c>
      <c r="J53" s="24"/>
      <c r="K53" s="24"/>
      <c r="L53" s="19" t="str">
        <f t="shared" si="1"/>
        <v>LUNAS</v>
      </c>
      <c r="M53" s="24"/>
      <c r="N53" s="22"/>
      <c r="O53" s="6"/>
      <c r="P53" s="6"/>
      <c r="Q53" s="42">
        <v>44</v>
      </c>
      <c r="R53" s="61" t="str">
        <v>AMP-257</v>
      </c>
      <c r="S53" s="61" t="str">
        <v>TEGUH@SUM</v>
      </c>
      <c r="T53" s="61" t="str">
        <v>AMPELGADING</v>
      </c>
      <c r="U53" s="63">
        <v>700000</v>
      </c>
    </row>
    <row r="54" spans="1:21" ht="12.75" customHeight="1" x14ac:dyDescent="0.3">
      <c r="A54" s="6"/>
      <c r="B54" s="19">
        <v>51</v>
      </c>
      <c r="C54" s="20" t="str">
        <f>NamaPelanggan!C53</f>
        <v>IDI-051</v>
      </c>
      <c r="D54" s="21" t="str">
        <f>NamaPelanggan!D53</f>
        <v>NUMA</v>
      </c>
      <c r="E54" s="21" t="str">
        <f>NamaPelanggan!E53</f>
        <v>IDINAN</v>
      </c>
      <c r="F54" s="23">
        <f>NamaPelanggan!H53</f>
        <v>100000</v>
      </c>
      <c r="G54" s="24"/>
      <c r="H54" s="24"/>
      <c r="I54" s="24">
        <v>100000</v>
      </c>
      <c r="J54" s="24"/>
      <c r="K54" s="24"/>
      <c r="L54" s="19" t="str">
        <f t="shared" si="1"/>
        <v>LUNAS</v>
      </c>
      <c r="M54" s="24"/>
      <c r="N54" s="22"/>
      <c r="O54" s="6"/>
      <c r="P54" s="6"/>
      <c r="Q54" s="42">
        <v>45</v>
      </c>
      <c r="R54" s="61" t="str">
        <v>AMP-258</v>
      </c>
      <c r="S54" s="61" t="str">
        <v>ILYAS@TERMINAL</v>
      </c>
      <c r="T54" s="61" t="str">
        <v>AMPELGADING</v>
      </c>
      <c r="U54" s="63">
        <v>900000</v>
      </c>
    </row>
    <row r="55" spans="1:21" ht="12.75" customHeight="1" x14ac:dyDescent="0.3">
      <c r="A55" s="6"/>
      <c r="B55" s="19">
        <v>52</v>
      </c>
      <c r="C55" s="20" t="str">
        <f>NamaPelanggan!C54</f>
        <v>IDI-052</v>
      </c>
      <c r="D55" s="21" t="str">
        <f>NamaPelanggan!D54</f>
        <v>NADIA</v>
      </c>
      <c r="E55" s="21" t="str">
        <f>NamaPelanggan!E54</f>
        <v>IDINAN</v>
      </c>
      <c r="F55" s="23">
        <f>NamaPelanggan!H54</f>
        <v>100000</v>
      </c>
      <c r="G55" s="24"/>
      <c r="H55" s="24"/>
      <c r="I55" s="24">
        <v>100000</v>
      </c>
      <c r="J55" s="24"/>
      <c r="K55" s="24"/>
      <c r="L55" s="19" t="str">
        <f t="shared" si="1"/>
        <v>LUNAS</v>
      </c>
      <c r="M55" s="24"/>
      <c r="N55" s="22"/>
      <c r="O55" s="6"/>
      <c r="P55" s="6"/>
      <c r="Q55" s="42">
        <v>46</v>
      </c>
      <c r="R55" s="61" t="str">
        <v>PAN-266</v>
      </c>
      <c r="S55" s="61" t="str">
        <v>RIZKI</v>
      </c>
      <c r="T55" s="61" t="str">
        <v>PANGGANG</v>
      </c>
      <c r="U55" s="63">
        <v>500000</v>
      </c>
    </row>
    <row r="56" spans="1:21" ht="12.75" customHeight="1" x14ac:dyDescent="0.3">
      <c r="A56" s="6"/>
      <c r="B56" s="19">
        <v>53</v>
      </c>
      <c r="C56" s="20" t="str">
        <f>NamaPelanggan!C55</f>
        <v>IDI-053</v>
      </c>
      <c r="D56" s="21" t="str">
        <f>NamaPelanggan!D55</f>
        <v>UUS/ daus</v>
      </c>
      <c r="E56" s="21" t="str">
        <f>NamaPelanggan!E55</f>
        <v>IDINAN</v>
      </c>
      <c r="F56" s="23">
        <f>NamaPelanggan!H55</f>
        <v>100000</v>
      </c>
      <c r="G56" s="24"/>
      <c r="H56" s="24"/>
      <c r="I56" s="24">
        <v>100000</v>
      </c>
      <c r="J56" s="24"/>
      <c r="K56" s="24"/>
      <c r="L56" s="19" t="str">
        <f t="shared" si="1"/>
        <v>LUNAS</v>
      </c>
      <c r="M56" s="24"/>
      <c r="N56" s="22"/>
      <c r="O56" s="6"/>
      <c r="P56" s="6"/>
      <c r="Q56" s="42">
        <v>47</v>
      </c>
      <c r="R56" s="61" t="str">
        <v>KEB-288</v>
      </c>
      <c r="S56" s="61" t="str">
        <v>ali@marisa</v>
      </c>
      <c r="T56" s="61" t="str">
        <v>KEBUNDADAP</v>
      </c>
      <c r="U56" s="63">
        <v>100000</v>
      </c>
    </row>
    <row r="57" spans="1:21" ht="12.75" customHeight="1" x14ac:dyDescent="0.3">
      <c r="A57" s="6"/>
      <c r="B57" s="19">
        <v>54</v>
      </c>
      <c r="C57" s="20" t="str">
        <f>NamaPelanggan!C56</f>
        <v>IDI-054</v>
      </c>
      <c r="D57" s="21" t="str">
        <f>NamaPelanggan!D56</f>
        <v>Rini</v>
      </c>
      <c r="E57" s="21" t="str">
        <f>NamaPelanggan!E56</f>
        <v>IDINAN</v>
      </c>
      <c r="F57" s="23">
        <f>NamaPelanggan!H56</f>
        <v>100000</v>
      </c>
      <c r="G57" s="24"/>
      <c r="H57" s="24"/>
      <c r="I57" s="24">
        <v>100000</v>
      </c>
      <c r="J57" s="24"/>
      <c r="K57" s="24"/>
      <c r="L57" s="19" t="str">
        <f t="shared" si="1"/>
        <v>LUNAS</v>
      </c>
      <c r="M57" s="24"/>
      <c r="N57" s="22"/>
      <c r="O57" s="6"/>
      <c r="P57" s="6"/>
      <c r="Q57" s="42">
        <v>48</v>
      </c>
      <c r="R57" s="61" t="str">
        <v>KEB-295</v>
      </c>
      <c r="S57" s="61" t="str">
        <v>dimas@aurel</v>
      </c>
      <c r="T57" s="61" t="str">
        <v>KEBUNDADAP</v>
      </c>
      <c r="U57" s="63">
        <v>100000</v>
      </c>
    </row>
    <row r="58" spans="1:21" ht="12.75" customHeight="1" x14ac:dyDescent="0.3">
      <c r="A58" s="6"/>
      <c r="B58" s="19">
        <v>55</v>
      </c>
      <c r="C58" s="20" t="str">
        <f>NamaPelanggan!C57</f>
        <v>IDI-055</v>
      </c>
      <c r="D58" s="21" t="str">
        <f>NamaPelanggan!D57</f>
        <v>ILHAM</v>
      </c>
      <c r="E58" s="21" t="str">
        <f>NamaPelanggan!E57</f>
        <v>IDINAN</v>
      </c>
      <c r="F58" s="23">
        <f>NamaPelanggan!H57</f>
        <v>100000</v>
      </c>
      <c r="G58" s="24"/>
      <c r="H58" s="24"/>
      <c r="I58" s="24">
        <v>100000</v>
      </c>
      <c r="J58" s="24"/>
      <c r="K58" s="24"/>
      <c r="L58" s="19" t="str">
        <f t="shared" si="1"/>
        <v>LUNAS</v>
      </c>
      <c r="M58" s="24"/>
      <c r="N58" s="22"/>
      <c r="O58" s="6"/>
      <c r="P58" s="6"/>
      <c r="Q58" s="42">
        <v>49</v>
      </c>
      <c r="R58" s="61" t="str">
        <v>KEB-298</v>
      </c>
      <c r="S58" s="61" t="str">
        <v>har</v>
      </c>
      <c r="T58" s="61" t="str">
        <v>KEBUNDADAP</v>
      </c>
      <c r="U58" s="63">
        <v>200000</v>
      </c>
    </row>
    <row r="59" spans="1:21" ht="12.75" customHeight="1" x14ac:dyDescent="0.3">
      <c r="A59" s="6"/>
      <c r="B59" s="19">
        <v>56</v>
      </c>
      <c r="C59" s="20" t="str">
        <f>NamaPelanggan!C58</f>
        <v>IDI-056</v>
      </c>
      <c r="D59" s="21" t="str">
        <f>NamaPelanggan!D58</f>
        <v>ZEA</v>
      </c>
      <c r="E59" s="21" t="str">
        <f>NamaPelanggan!E58</f>
        <v>IDINAN</v>
      </c>
      <c r="F59" s="23">
        <f>NamaPelanggan!H58</f>
        <v>150000</v>
      </c>
      <c r="G59" s="24"/>
      <c r="H59" s="24"/>
      <c r="I59" s="24">
        <v>150000</v>
      </c>
      <c r="J59" s="24"/>
      <c r="K59" s="24"/>
      <c r="L59" s="19" t="str">
        <f t="shared" si="1"/>
        <v>LUNAS</v>
      </c>
      <c r="M59" s="24"/>
      <c r="N59" s="22"/>
      <c r="O59" s="6"/>
      <c r="P59" s="6"/>
      <c r="Q59" s="42">
        <v>50</v>
      </c>
      <c r="R59" s="61" t="str">
        <v>KEB-302</v>
      </c>
      <c r="S59" s="61" t="str">
        <v>leo</v>
      </c>
      <c r="T59" s="61" t="str">
        <v>KEBUNDADAP</v>
      </c>
      <c r="U59" s="63">
        <v>100000</v>
      </c>
    </row>
    <row r="60" spans="1:21" ht="12.75" customHeight="1" x14ac:dyDescent="0.3">
      <c r="A60" s="6"/>
      <c r="B60" s="19">
        <v>57</v>
      </c>
      <c r="C60" s="20" t="str">
        <f>NamaPelanggan!C59</f>
        <v>IDI-057</v>
      </c>
      <c r="D60" s="21" t="str">
        <f>NamaPelanggan!D59</f>
        <v>SRI meca</v>
      </c>
      <c r="E60" s="21" t="str">
        <f>NamaPelanggan!E59</f>
        <v>IDINAN</v>
      </c>
      <c r="F60" s="23">
        <f>NamaPelanggan!H59</f>
        <v>50000</v>
      </c>
      <c r="G60" s="24"/>
      <c r="H60" s="24"/>
      <c r="I60" s="24">
        <v>50000</v>
      </c>
      <c r="J60" s="24"/>
      <c r="K60" s="24"/>
      <c r="L60" s="19" t="str">
        <f t="shared" si="1"/>
        <v>LUNAS</v>
      </c>
      <c r="M60" s="24"/>
      <c r="N60" s="22"/>
      <c r="O60" s="6"/>
      <c r="P60" s="6"/>
      <c r="Q60" s="42">
        <v>51</v>
      </c>
      <c r="R60" s="61" t="str">
        <v>KEB-308</v>
      </c>
      <c r="S60" s="61" t="str">
        <v>nurulhidayat</v>
      </c>
      <c r="T60" s="61" t="str">
        <v>KEBUNDADAP</v>
      </c>
      <c r="U60" s="63">
        <v>100000</v>
      </c>
    </row>
    <row r="61" spans="1:21" ht="12.75" customHeight="1" x14ac:dyDescent="0.3">
      <c r="A61" s="6"/>
      <c r="B61" s="19">
        <v>58</v>
      </c>
      <c r="C61" s="20" t="str">
        <f>NamaPelanggan!C60</f>
        <v>IDI-058</v>
      </c>
      <c r="D61" s="21" t="str">
        <f>NamaPelanggan!D60</f>
        <v>FAISOL</v>
      </c>
      <c r="E61" s="21" t="str">
        <f>NamaPelanggan!E60</f>
        <v>IDINAN</v>
      </c>
      <c r="F61" s="23">
        <f>NamaPelanggan!H60</f>
        <v>50000</v>
      </c>
      <c r="G61" s="24"/>
      <c r="H61" s="24"/>
      <c r="I61" s="24">
        <v>100000</v>
      </c>
      <c r="J61" s="24"/>
      <c r="K61" s="24"/>
      <c r="L61" s="19" t="str">
        <f t="shared" si="1"/>
        <v>LUNAS</v>
      </c>
      <c r="M61" s="24"/>
      <c r="N61" s="22"/>
      <c r="O61" s="6"/>
      <c r="P61" s="6"/>
      <c r="Q61" s="42">
        <v>52</v>
      </c>
      <c r="R61" s="61" t="str">
        <v>KEB-310</v>
      </c>
      <c r="S61" s="61" t="str">
        <v>p.mita (terusan )</v>
      </c>
      <c r="T61" s="61" t="str">
        <v>KEBUNDADAP</v>
      </c>
      <c r="U61" s="63">
        <v>100000</v>
      </c>
    </row>
    <row r="62" spans="1:21" ht="12.75" customHeight="1" x14ac:dyDescent="0.3">
      <c r="A62" s="6"/>
      <c r="B62" s="19">
        <v>59</v>
      </c>
      <c r="C62" s="20" t="str">
        <f>NamaPelanggan!C61</f>
        <v>IDI-059</v>
      </c>
      <c r="D62" s="21" t="str">
        <f>NamaPelanggan!D61</f>
        <v>JUNAIDI</v>
      </c>
      <c r="E62" s="21" t="str">
        <f>NamaPelanggan!E61</f>
        <v>IDINAN</v>
      </c>
      <c r="F62" s="23">
        <f>NamaPelanggan!H61</f>
        <v>50000</v>
      </c>
      <c r="G62" s="24"/>
      <c r="H62" s="24"/>
      <c r="I62" s="24">
        <v>50000</v>
      </c>
      <c r="J62" s="24"/>
      <c r="K62" s="24"/>
      <c r="L62" s="19" t="str">
        <f t="shared" si="1"/>
        <v>LUNAS</v>
      </c>
      <c r="M62" s="24"/>
      <c r="N62" s="22"/>
      <c r="O62" s="6"/>
      <c r="P62" s="6"/>
      <c r="Q62" s="42">
        <v>53</v>
      </c>
      <c r="R62" s="61" t="str">
        <v>KEB-315</v>
      </c>
      <c r="S62" s="61" t="str">
        <v>pri@rita</v>
      </c>
      <c r="T62" s="61" t="str">
        <v>KEBUNDADAP</v>
      </c>
      <c r="U62" s="63">
        <v>200000</v>
      </c>
    </row>
    <row r="63" spans="1:21" ht="12.75" customHeight="1" x14ac:dyDescent="0.3">
      <c r="A63" s="6"/>
      <c r="B63" s="19">
        <v>60</v>
      </c>
      <c r="C63" s="20" t="str">
        <f>NamaPelanggan!C62</f>
        <v>IDI-060</v>
      </c>
      <c r="D63" s="21" t="str">
        <f>NamaPelanggan!D62</f>
        <v>KOM</v>
      </c>
      <c r="E63" s="21" t="str">
        <f>NamaPelanggan!E62</f>
        <v>IDINAN</v>
      </c>
      <c r="F63" s="23">
        <f>NamaPelanggan!H62</f>
        <v>75000</v>
      </c>
      <c r="G63" s="24"/>
      <c r="H63" s="24"/>
      <c r="I63" s="24">
        <v>75000</v>
      </c>
      <c r="J63" s="24"/>
      <c r="K63" s="24"/>
      <c r="L63" s="19" t="s">
        <v>550</v>
      </c>
      <c r="M63" s="24"/>
      <c r="N63" s="22"/>
      <c r="O63" s="6"/>
      <c r="P63" s="6"/>
      <c r="Q63" s="42">
        <v>54</v>
      </c>
      <c r="R63" s="61" t="str">
        <v>KEB-320</v>
      </c>
      <c r="S63" s="61" t="str">
        <v>suci@bondadap</v>
      </c>
      <c r="T63" s="61" t="str">
        <v>KEBUNDADAP</v>
      </c>
      <c r="U63" s="63">
        <v>100000</v>
      </c>
    </row>
    <row r="64" spans="1:21" ht="12.75" customHeight="1" x14ac:dyDescent="0.3">
      <c r="A64" s="6"/>
      <c r="B64" s="19">
        <v>61</v>
      </c>
      <c r="C64" s="20" t="str">
        <f>NamaPelanggan!C63</f>
        <v>IDI-061</v>
      </c>
      <c r="D64" s="21" t="str">
        <f>NamaPelanggan!D63</f>
        <v>ARIP@AYUK</v>
      </c>
      <c r="E64" s="21" t="str">
        <f>NamaPelanggan!E63</f>
        <v>IDINAN</v>
      </c>
      <c r="F64" s="23">
        <f>NamaPelanggan!H63</f>
        <v>100000</v>
      </c>
      <c r="G64" s="24"/>
      <c r="H64" s="24"/>
      <c r="I64" s="24"/>
      <c r="J64" s="24"/>
      <c r="K64" s="24"/>
      <c r="L64" s="19" t="str">
        <f t="shared" si="1"/>
        <v>BELUM LUNAS</v>
      </c>
      <c r="M64" s="24">
        <v>800000</v>
      </c>
      <c r="N64" s="22" t="s">
        <v>575</v>
      </c>
      <c r="O64" s="6"/>
      <c r="P64" s="6"/>
      <c r="Q64" s="42">
        <v>55</v>
      </c>
      <c r="R64" s="61" t="str">
        <v>KEB-322</v>
      </c>
      <c r="S64" s="61" t="str">
        <v>sulyadi@reni</v>
      </c>
      <c r="T64" s="61" t="str">
        <v>KEBUNDADAP</v>
      </c>
      <c r="U64" s="63">
        <v>200000</v>
      </c>
    </row>
    <row r="65" spans="1:21" ht="12.75" customHeight="1" x14ac:dyDescent="0.3">
      <c r="A65" s="6"/>
      <c r="B65" s="19">
        <v>62</v>
      </c>
      <c r="C65" s="20" t="str">
        <f>NamaPelanggan!C64</f>
        <v>IDI-062</v>
      </c>
      <c r="D65" s="21" t="str">
        <f>NamaPelanggan!D64</f>
        <v>DAYAT@BENGKEL</v>
      </c>
      <c r="E65" s="21" t="str">
        <f>NamaPelanggan!E64</f>
        <v>IDINAN</v>
      </c>
      <c r="F65" s="23">
        <f>NamaPelanggan!H64</f>
        <v>100000</v>
      </c>
      <c r="G65" s="24"/>
      <c r="H65" s="24"/>
      <c r="I65" s="24"/>
      <c r="J65" s="24"/>
      <c r="K65" s="24"/>
      <c r="L65" s="19" t="str">
        <f t="shared" si="1"/>
        <v>BELUM LUNAS</v>
      </c>
      <c r="M65" s="24">
        <v>400000</v>
      </c>
      <c r="N65" s="22" t="s">
        <v>576</v>
      </c>
      <c r="O65" s="6"/>
      <c r="P65" s="6"/>
      <c r="Q65" s="42">
        <v>56</v>
      </c>
      <c r="R65" s="61" t="str">
        <v>KEB-324</v>
      </c>
      <c r="S65" s="61" t="str">
        <v>suparno@rizki</v>
      </c>
      <c r="T65" s="61" t="str">
        <v>KEBUNDADAP</v>
      </c>
      <c r="U65" s="63">
        <v>100000</v>
      </c>
    </row>
    <row r="66" spans="1:21" ht="12.75" customHeight="1" x14ac:dyDescent="0.3">
      <c r="A66" s="14"/>
      <c r="B66" s="19">
        <v>63</v>
      </c>
      <c r="C66" s="56" t="str">
        <f>NamaPelanggan!C65</f>
        <v>IDI-063</v>
      </c>
      <c r="D66" s="57" t="str">
        <f>NamaPelanggan!D65</f>
        <v>ANGGA@ANIS</v>
      </c>
      <c r="E66" s="57" t="str">
        <f>NamaPelanggan!E65</f>
        <v>IDINAN</v>
      </c>
      <c r="F66" s="23">
        <f>NamaPelanggan!H65</f>
        <v>100000</v>
      </c>
      <c r="G66" s="23"/>
      <c r="H66" s="23"/>
      <c r="I66" s="23">
        <v>100000</v>
      </c>
      <c r="J66" s="23"/>
      <c r="K66" s="23"/>
      <c r="L66" s="19" t="str">
        <f t="shared" ref="L66:L95" si="2">IF(SUM(G66:K66)&gt;0,"LUNAS","BELUM LUNAS")</f>
        <v>LUNAS</v>
      </c>
      <c r="M66" s="23"/>
      <c r="N66" s="19"/>
      <c r="O66" s="14"/>
      <c r="P66" s="14"/>
      <c r="Q66" s="42">
        <v>57</v>
      </c>
      <c r="R66" s="61" t="str">
        <v>KEB-325</v>
      </c>
      <c r="S66" s="61" t="str">
        <v>supri@bondadap</v>
      </c>
      <c r="T66" s="61" t="str">
        <v>KEBUNDADAP</v>
      </c>
      <c r="U66" s="64">
        <v>100000</v>
      </c>
    </row>
    <row r="67" spans="1:21" ht="12.75" customHeight="1" x14ac:dyDescent="0.3">
      <c r="A67" s="6"/>
      <c r="B67" s="19">
        <v>64</v>
      </c>
      <c r="C67" s="20" t="str">
        <f>NamaPelanggan!C66</f>
        <v>TAN-064</v>
      </c>
      <c r="D67" s="21" t="str">
        <f>NamaPelanggan!D66</f>
        <v>ANJAS</v>
      </c>
      <c r="E67" s="21" t="str">
        <f>NamaPelanggan!E66</f>
        <v>TANAH LOS</v>
      </c>
      <c r="F67" s="23">
        <f>NamaPelanggan!H66</f>
        <v>100000</v>
      </c>
      <c r="G67" s="24"/>
      <c r="H67" s="24"/>
      <c r="I67" s="24">
        <v>100000</v>
      </c>
      <c r="J67" s="24"/>
      <c r="K67" s="24"/>
      <c r="L67" s="19" t="str">
        <f t="shared" si="2"/>
        <v>LUNAS</v>
      </c>
      <c r="M67" s="24"/>
      <c r="N67" s="22"/>
      <c r="O67" s="6"/>
      <c r="P67" s="6"/>
      <c r="Q67" s="42">
        <v>58</v>
      </c>
      <c r="R67" s="61" t="str">
        <v>KEB-326</v>
      </c>
      <c r="S67" s="61" t="str">
        <v>suryanto@iqbal</v>
      </c>
      <c r="T67" s="61" t="str">
        <v>KEBUNDADAP</v>
      </c>
      <c r="U67" s="63">
        <v>100000</v>
      </c>
    </row>
    <row r="68" spans="1:21" ht="12.75" customHeight="1" x14ac:dyDescent="0.3">
      <c r="A68" s="6"/>
      <c r="B68" s="19">
        <v>65</v>
      </c>
      <c r="C68" s="20" t="str">
        <f>NamaPelanggan!C67</f>
        <v>TAN-065</v>
      </c>
      <c r="D68" s="21" t="str">
        <f>NamaPelanggan!D67</f>
        <v>ALIP@BINTANG</v>
      </c>
      <c r="E68" s="21" t="str">
        <f>NamaPelanggan!E67</f>
        <v>TANAH LOS</v>
      </c>
      <c r="F68" s="23">
        <f>NamaPelanggan!H67</f>
        <v>100000</v>
      </c>
      <c r="G68" s="24"/>
      <c r="H68" s="24"/>
      <c r="I68" s="24">
        <v>100000</v>
      </c>
      <c r="J68" s="24"/>
      <c r="K68" s="24"/>
      <c r="L68" s="19" t="s">
        <v>548</v>
      </c>
      <c r="M68" s="24">
        <v>100000</v>
      </c>
      <c r="N68" s="22" t="s">
        <v>574</v>
      </c>
      <c r="O68" s="6"/>
      <c r="P68" s="6"/>
      <c r="Q68" s="42">
        <v>59</v>
      </c>
      <c r="R68" s="61" t="str">
        <v>KEB-328</v>
      </c>
      <c r="S68" s="61" t="str">
        <v>tejo@bocil</v>
      </c>
      <c r="T68" s="61" t="str">
        <v>KEBUNDADAP</v>
      </c>
      <c r="U68" s="63">
        <v>100000</v>
      </c>
    </row>
    <row r="69" spans="1:21" ht="12.75" customHeight="1" x14ac:dyDescent="0.3">
      <c r="A69" s="6"/>
      <c r="B69" s="19">
        <v>66</v>
      </c>
      <c r="C69" s="20" t="str">
        <f>NamaPelanggan!C68</f>
        <v>TAN-066</v>
      </c>
      <c r="D69" s="21" t="str">
        <f>NamaPelanggan!D68</f>
        <v>ANA@HAR</v>
      </c>
      <c r="E69" s="21" t="str">
        <f>NamaPelanggan!E68</f>
        <v>TANAH LOS</v>
      </c>
      <c r="F69" s="23">
        <f>NamaPelanggan!H68</f>
        <v>100000</v>
      </c>
      <c r="G69" s="24"/>
      <c r="H69" s="24"/>
      <c r="I69" s="24"/>
      <c r="J69" s="24"/>
      <c r="K69" s="24"/>
      <c r="L69" s="19" t="str">
        <f t="shared" si="2"/>
        <v>BELUM LUNAS</v>
      </c>
      <c r="M69" s="24">
        <v>100000</v>
      </c>
      <c r="N69" s="22" t="s">
        <v>574</v>
      </c>
      <c r="O69" s="6"/>
      <c r="P69" s="6"/>
      <c r="Q69" s="42">
        <v>60</v>
      </c>
      <c r="R69" s="61" t="str">
        <v>KEB-331</v>
      </c>
      <c r="S69" s="61" t="str">
        <v>wiwik@winda</v>
      </c>
      <c r="T69" s="61" t="str">
        <v>KEBUNDADAP</v>
      </c>
      <c r="U69" s="63">
        <v>300000</v>
      </c>
    </row>
    <row r="70" spans="1:21" ht="12.75" customHeight="1" x14ac:dyDescent="0.3">
      <c r="A70" s="6"/>
      <c r="B70" s="19">
        <v>67</v>
      </c>
      <c r="C70" s="20" t="str">
        <f>NamaPelanggan!C69</f>
        <v>TAN-067</v>
      </c>
      <c r="D70" s="21" t="str">
        <f>NamaPelanggan!D69</f>
        <v>BINDERE@IMAM</v>
      </c>
      <c r="E70" s="21" t="str">
        <f>NamaPelanggan!E69</f>
        <v>TANAH LOS</v>
      </c>
      <c r="F70" s="23">
        <f>NamaPelanggan!H69</f>
        <v>100000</v>
      </c>
      <c r="G70" s="24"/>
      <c r="H70" s="24"/>
      <c r="I70" s="24">
        <v>100000</v>
      </c>
      <c r="J70" s="24"/>
      <c r="K70" s="24"/>
      <c r="L70" s="19" t="str">
        <f t="shared" si="2"/>
        <v>LUNAS</v>
      </c>
      <c r="M70" s="24"/>
      <c r="N70" s="22"/>
      <c r="O70" s="6"/>
      <c r="P70" s="6"/>
      <c r="Q70" s="42">
        <v>61</v>
      </c>
      <c r="R70" s="61" t="str">
        <v>KEB-332</v>
      </c>
      <c r="S70" s="61" t="str">
        <v>yatik@sok</v>
      </c>
      <c r="T70" s="61" t="str">
        <v>KEBUNDADAP</v>
      </c>
      <c r="U70" s="63">
        <v>100000</v>
      </c>
    </row>
    <row r="71" spans="1:21" ht="12.75" customHeight="1" x14ac:dyDescent="0.3">
      <c r="A71" s="6"/>
      <c r="B71" s="19">
        <v>68</v>
      </c>
      <c r="C71" s="20" t="str">
        <f>NamaPelanggan!C70</f>
        <v>TAN-068</v>
      </c>
      <c r="D71" s="21" t="str">
        <f>NamaPelanggan!D70</f>
        <v>DAPIT JOKO / dampit</v>
      </c>
      <c r="E71" s="21" t="str">
        <f>NamaPelanggan!E70</f>
        <v>TANAH LOS</v>
      </c>
      <c r="F71" s="23">
        <f>NamaPelanggan!H70</f>
        <v>100000</v>
      </c>
      <c r="G71" s="24"/>
      <c r="H71" s="24"/>
      <c r="I71" s="24">
        <v>100000</v>
      </c>
      <c r="J71" s="24"/>
      <c r="K71" s="24"/>
      <c r="L71" s="19" t="str">
        <f t="shared" si="2"/>
        <v>LUNAS</v>
      </c>
      <c r="M71" s="24"/>
      <c r="N71" s="22"/>
      <c r="O71" s="6"/>
      <c r="P71" s="6"/>
      <c r="Q71" s="42">
        <v>62</v>
      </c>
      <c r="R71" s="61" t="str">
        <v>KEB-335</v>
      </c>
      <c r="S71" s="61" t="str">
        <v>BAGAS</v>
      </c>
      <c r="T71" s="61" t="str">
        <v>KEBUNDADAP</v>
      </c>
      <c r="U71" s="63">
        <v>200000</v>
      </c>
    </row>
    <row r="72" spans="1:21" ht="12.75" customHeight="1" x14ac:dyDescent="0.3">
      <c r="A72" s="6"/>
      <c r="B72" s="19">
        <v>69</v>
      </c>
      <c r="C72" s="20" t="str">
        <f>NamaPelanggan!C71</f>
        <v>TAN-069</v>
      </c>
      <c r="D72" s="21" t="str">
        <f>NamaPelanggan!D71</f>
        <v>DIKI@HELMI</v>
      </c>
      <c r="E72" s="21" t="str">
        <f>NamaPelanggan!E71</f>
        <v>TANAH LOS</v>
      </c>
      <c r="F72" s="23">
        <f>NamaPelanggan!H71</f>
        <v>100000</v>
      </c>
      <c r="G72" s="24"/>
      <c r="H72" s="24"/>
      <c r="I72" s="24"/>
      <c r="J72" s="24"/>
      <c r="K72" s="24"/>
      <c r="L72" s="19" t="str">
        <f t="shared" si="2"/>
        <v>BELUM LUNAS</v>
      </c>
      <c r="M72" s="24">
        <v>100000</v>
      </c>
      <c r="N72" s="22" t="s">
        <v>574</v>
      </c>
      <c r="O72" s="6"/>
      <c r="P72" s="6"/>
      <c r="Q72" s="42">
        <v>63</v>
      </c>
      <c r="R72" s="61" t="str">
        <v>KEB-337</v>
      </c>
      <c r="S72" s="61" t="str">
        <v>EPUL</v>
      </c>
      <c r="T72" s="61" t="str">
        <v>KEBUNDADAP</v>
      </c>
      <c r="U72" s="63">
        <v>100000</v>
      </c>
    </row>
    <row r="73" spans="1:21" ht="12.75" customHeight="1" x14ac:dyDescent="0.3">
      <c r="A73" s="6"/>
      <c r="B73" s="19">
        <v>70</v>
      </c>
      <c r="C73" s="20" t="str">
        <f>NamaPelanggan!C72</f>
        <v>TAN-070</v>
      </c>
      <c r="D73" s="21" t="str">
        <f>NamaPelanggan!D72</f>
        <v>selamet dinda / ima</v>
      </c>
      <c r="E73" s="21" t="str">
        <f>NamaPelanggan!E72</f>
        <v>TANAH LOS</v>
      </c>
      <c r="F73" s="23">
        <f>NamaPelanggan!H72</f>
        <v>100000</v>
      </c>
      <c r="G73" s="24"/>
      <c r="H73" s="24"/>
      <c r="I73" s="24"/>
      <c r="J73" s="24"/>
      <c r="K73" s="24"/>
      <c r="L73" s="19" t="str">
        <f t="shared" si="2"/>
        <v>BELUM LUNAS</v>
      </c>
      <c r="M73" s="24">
        <v>100000</v>
      </c>
      <c r="N73" s="22" t="s">
        <v>574</v>
      </c>
      <c r="O73" s="6"/>
      <c r="P73" s="6"/>
      <c r="Q73" s="42">
        <v>64</v>
      </c>
      <c r="R73" s="61" t="str">
        <v>KEB-338</v>
      </c>
      <c r="S73" s="61" t="str">
        <v>ERNA</v>
      </c>
      <c r="T73" s="61" t="str">
        <v>KEBUNDADAP</v>
      </c>
      <c r="U73" s="63">
        <v>100000</v>
      </c>
    </row>
    <row r="74" spans="1:21" ht="12.75" customHeight="1" x14ac:dyDescent="0.3">
      <c r="A74" s="6"/>
      <c r="B74" s="19">
        <v>71</v>
      </c>
      <c r="C74" s="20" t="str">
        <f>NamaPelanggan!C73</f>
        <v>TAN-071</v>
      </c>
      <c r="D74" s="21" t="str">
        <f>NamaPelanggan!D73</f>
        <v>EROL@DEWI</v>
      </c>
      <c r="E74" s="21" t="str">
        <f>NamaPelanggan!E73</f>
        <v>TANAH LOS</v>
      </c>
      <c r="F74" s="23">
        <f>NamaPelanggan!H73</f>
        <v>100000</v>
      </c>
      <c r="G74" s="24"/>
      <c r="H74" s="24"/>
      <c r="I74" s="24">
        <v>100000</v>
      </c>
      <c r="J74" s="24"/>
      <c r="K74" s="24"/>
      <c r="L74" s="19" t="str">
        <f t="shared" si="2"/>
        <v>LUNAS</v>
      </c>
      <c r="M74" s="24"/>
      <c r="N74" s="22"/>
      <c r="O74" s="6"/>
      <c r="P74" s="6"/>
      <c r="Q74" s="42">
        <v>65</v>
      </c>
      <c r="R74" s="61" t="str">
        <v>KEB-344</v>
      </c>
      <c r="S74" s="61" t="str">
        <v>yanto/ ayuk</v>
      </c>
      <c r="T74" s="61" t="str">
        <v>KEBUNDADAP</v>
      </c>
      <c r="U74" s="63">
        <v>100000</v>
      </c>
    </row>
    <row r="75" spans="1:21" ht="12.75" customHeight="1" x14ac:dyDescent="0.3">
      <c r="A75" s="6"/>
      <c r="B75" s="19">
        <v>72</v>
      </c>
      <c r="C75" s="20" t="str">
        <f>NamaPelanggan!C74</f>
        <v>TAN-072</v>
      </c>
      <c r="D75" s="21" t="str">
        <f>NamaPelanggan!D74</f>
        <v>HARIYANTO@LIRA</v>
      </c>
      <c r="E75" s="21" t="str">
        <f>NamaPelanggan!E74</f>
        <v>TANAH LOS</v>
      </c>
      <c r="F75" s="23">
        <f>NamaPelanggan!H74</f>
        <v>100000</v>
      </c>
      <c r="G75" s="24"/>
      <c r="H75" s="24"/>
      <c r="I75" s="24">
        <v>100000</v>
      </c>
      <c r="J75" s="24"/>
      <c r="K75" s="24"/>
      <c r="L75" s="19" t="str">
        <f t="shared" si="2"/>
        <v>LUNAS</v>
      </c>
      <c r="M75" s="24"/>
      <c r="N75" s="22"/>
      <c r="O75" s="6"/>
      <c r="P75" s="6"/>
      <c r="Q75" s="42">
        <v>66</v>
      </c>
      <c r="R75" s="61" t="str">
        <v>KEB-359</v>
      </c>
      <c r="S75" s="61" t="str">
        <v>Sumaini</v>
      </c>
      <c r="T75" s="61" t="str">
        <v>KEBUNDADAP</v>
      </c>
      <c r="U75" s="63">
        <v>200000</v>
      </c>
    </row>
    <row r="76" spans="1:21" ht="12.75" customHeight="1" x14ac:dyDescent="0.3">
      <c r="A76" s="6"/>
      <c r="B76" s="19">
        <v>73</v>
      </c>
      <c r="C76" s="20" t="str">
        <f>NamaPelanggan!C75</f>
        <v>TAN-073</v>
      </c>
      <c r="D76" s="21" t="str">
        <f>NamaPelanggan!D75</f>
        <v>HODIE</v>
      </c>
      <c r="E76" s="21" t="str">
        <f>NamaPelanggan!E75</f>
        <v>TANAH LOS</v>
      </c>
      <c r="F76" s="23">
        <f>NamaPelanggan!H75</f>
        <v>100000</v>
      </c>
      <c r="G76" s="24"/>
      <c r="H76" s="24"/>
      <c r="I76" s="24">
        <v>100000</v>
      </c>
      <c r="J76" s="24"/>
      <c r="K76" s="24"/>
      <c r="L76" s="19" t="s">
        <v>550</v>
      </c>
      <c r="M76" s="24"/>
      <c r="N76" s="22"/>
      <c r="O76" s="6"/>
      <c r="P76" s="6"/>
      <c r="Q76" s="42">
        <v>67</v>
      </c>
      <c r="R76" s="61" t="str">
        <v>KEB-363</v>
      </c>
      <c r="S76" s="61" t="str">
        <v>p. sak siti / blm app</v>
      </c>
      <c r="T76" s="61" t="str">
        <v>KEBUNDADAP</v>
      </c>
      <c r="U76" s="63">
        <v>250000</v>
      </c>
    </row>
    <row r="77" spans="1:21" ht="12.75" customHeight="1" x14ac:dyDescent="0.3">
      <c r="A77" s="6"/>
      <c r="B77" s="19">
        <v>74</v>
      </c>
      <c r="C77" s="20" t="str">
        <f>NamaPelanggan!C76</f>
        <v>TAN-074</v>
      </c>
      <c r="D77" s="21" t="str">
        <f>NamaPelanggan!D76</f>
        <v>IKAUNTUNG</v>
      </c>
      <c r="E77" s="21" t="str">
        <f>NamaPelanggan!E76</f>
        <v>TANAH LOS</v>
      </c>
      <c r="F77" s="23">
        <f>NamaPelanggan!H76</f>
        <v>100000</v>
      </c>
      <c r="G77" s="24"/>
      <c r="H77" s="24"/>
      <c r="I77" s="24">
        <v>100000</v>
      </c>
      <c r="J77" s="24"/>
      <c r="K77" s="24"/>
      <c r="L77" s="19" t="str">
        <f t="shared" si="2"/>
        <v>LUNAS</v>
      </c>
      <c r="M77" s="24"/>
      <c r="N77" s="22"/>
      <c r="O77" s="6"/>
      <c r="P77" s="6"/>
      <c r="Q77" s="42">
        <v>68</v>
      </c>
      <c r="R77" s="61" t="str">
        <v>KEB-364</v>
      </c>
      <c r="S77" s="61" t="str">
        <v>natan</v>
      </c>
      <c r="T77" s="61" t="str">
        <v>KEBUNDADAP</v>
      </c>
      <c r="U77" s="63">
        <v>800000</v>
      </c>
    </row>
    <row r="78" spans="1:21" ht="12.75" customHeight="1" x14ac:dyDescent="0.3">
      <c r="A78" s="6"/>
      <c r="B78" s="19">
        <v>75</v>
      </c>
      <c r="C78" s="20" t="str">
        <f>NamaPelanggan!C77</f>
        <v>TAN-075</v>
      </c>
      <c r="D78" s="21" t="str">
        <f>NamaPelanggan!D77</f>
        <v>LAILI</v>
      </c>
      <c r="E78" s="21" t="str">
        <f>NamaPelanggan!E77</f>
        <v>TANAH LOS</v>
      </c>
      <c r="F78" s="23">
        <f>NamaPelanggan!H77</f>
        <v>100000</v>
      </c>
      <c r="G78" s="24"/>
      <c r="H78" s="24"/>
      <c r="I78" s="24">
        <v>100000</v>
      </c>
      <c r="J78" s="24"/>
      <c r="K78" s="24"/>
      <c r="L78" s="19" t="str">
        <f t="shared" si="2"/>
        <v>LUNAS</v>
      </c>
      <c r="M78" s="24"/>
      <c r="N78" s="22"/>
      <c r="O78" s="6"/>
      <c r="P78" s="6"/>
      <c r="Q78" s="42">
        <v>69</v>
      </c>
      <c r="R78" s="61" t="str">
        <v>KEB-365</v>
      </c>
      <c r="S78" s="61" t="str">
        <v>windi</v>
      </c>
      <c r="T78" s="61" t="str">
        <v>KEBUNDADAP</v>
      </c>
      <c r="U78" s="63">
        <v>100000</v>
      </c>
    </row>
    <row r="79" spans="1:21" ht="12.75" customHeight="1" x14ac:dyDescent="0.3">
      <c r="A79" s="6"/>
      <c r="B79" s="19">
        <v>76</v>
      </c>
      <c r="C79" s="20" t="str">
        <f>NamaPelanggan!C78</f>
        <v>TAN-076</v>
      </c>
      <c r="D79" s="21" t="str">
        <f>NamaPelanggan!D78</f>
        <v>LIATN</v>
      </c>
      <c r="E79" s="21" t="str">
        <f>NamaPelanggan!E78</f>
        <v>TANAH LOS</v>
      </c>
      <c r="F79" s="23">
        <f>NamaPelanggan!H78</f>
        <v>100000</v>
      </c>
      <c r="G79" s="24"/>
      <c r="H79" s="24"/>
      <c r="I79" s="24">
        <v>100000</v>
      </c>
      <c r="J79" s="24"/>
      <c r="K79" s="24"/>
      <c r="L79" s="19" t="str">
        <f t="shared" si="2"/>
        <v>LUNAS</v>
      </c>
      <c r="M79" s="24"/>
      <c r="N79" s="22"/>
      <c r="O79" s="6"/>
      <c r="P79" s="6"/>
      <c r="Q79" s="42">
        <v>70</v>
      </c>
      <c r="R79" s="61" t="str">
        <v>KEB-366</v>
      </c>
      <c r="S79" s="61" t="str">
        <v>alfarel</v>
      </c>
      <c r="T79" s="61" t="str">
        <v>KEBUNDADAP</v>
      </c>
      <c r="U79" s="63">
        <v>200000</v>
      </c>
    </row>
    <row r="80" spans="1:21" ht="12.75" customHeight="1" x14ac:dyDescent="0.3">
      <c r="A80" s="6"/>
      <c r="B80" s="19">
        <v>77</v>
      </c>
      <c r="C80" s="20" t="str">
        <f>NamaPelanggan!C79</f>
        <v>TAN-077</v>
      </c>
      <c r="D80" s="21" t="str">
        <f>NamaPelanggan!D79</f>
        <v>MAHIL@TIK</v>
      </c>
      <c r="E80" s="21" t="str">
        <f>NamaPelanggan!E79</f>
        <v>TANAH LOS</v>
      </c>
      <c r="F80" s="23">
        <f>NamaPelanggan!H79</f>
        <v>100000</v>
      </c>
      <c r="G80" s="24"/>
      <c r="H80" s="24"/>
      <c r="I80" s="24">
        <v>100000</v>
      </c>
      <c r="J80" s="24"/>
      <c r="K80" s="24"/>
      <c r="L80" s="19" t="str">
        <f t="shared" si="2"/>
        <v>LUNAS</v>
      </c>
      <c r="M80" s="24"/>
      <c r="N80" s="22"/>
      <c r="O80" s="6"/>
      <c r="P80" s="6"/>
      <c r="Q80" s="42">
        <v>71</v>
      </c>
      <c r="R80" s="61" t="str">
        <v>KEB-367</v>
      </c>
      <c r="S80" s="61" t="str">
        <v>arling@bondadap</v>
      </c>
      <c r="T80" s="61" t="str">
        <v>KEBUNDADAP</v>
      </c>
      <c r="U80" s="63">
        <v>200000</v>
      </c>
    </row>
    <row r="81" spans="1:21" ht="12.75" customHeight="1" x14ac:dyDescent="0.3">
      <c r="A81" s="6"/>
      <c r="B81" s="19">
        <v>78</v>
      </c>
      <c r="C81" s="20" t="str">
        <f>NamaPelanggan!C80</f>
        <v>TAN-078</v>
      </c>
      <c r="D81" s="21" t="str">
        <f>NamaPelanggan!D80</f>
        <v>MUJI/HAEKAL</v>
      </c>
      <c r="E81" s="21" t="str">
        <f>NamaPelanggan!E80</f>
        <v>TANAH LOS</v>
      </c>
      <c r="F81" s="23">
        <f>NamaPelanggan!H80</f>
        <v>100000</v>
      </c>
      <c r="G81" s="24"/>
      <c r="H81" s="24"/>
      <c r="I81" s="24">
        <v>100000</v>
      </c>
      <c r="J81" s="24"/>
      <c r="K81" s="24"/>
      <c r="L81" s="19" t="str">
        <f t="shared" si="2"/>
        <v>LUNAS</v>
      </c>
      <c r="M81" s="24"/>
      <c r="N81" s="22"/>
      <c r="O81" s="6"/>
      <c r="P81" s="6"/>
      <c r="Q81" s="42">
        <v>72</v>
      </c>
      <c r="R81" s="61" t="str">
        <v>SUM-377</v>
      </c>
      <c r="S81" s="61" t="str">
        <v>BUS@SUMBERWATU</v>
      </c>
      <c r="T81" s="61" t="str">
        <v>SUMBERWATU</v>
      </c>
      <c r="U81" s="63">
        <v>100000</v>
      </c>
    </row>
    <row r="82" spans="1:21" ht="12.75" customHeight="1" x14ac:dyDescent="0.3">
      <c r="A82" s="6"/>
      <c r="B82" s="19">
        <v>79</v>
      </c>
      <c r="C82" s="20" t="str">
        <f>NamaPelanggan!C81</f>
        <v>TAN-079</v>
      </c>
      <c r="D82" s="21" t="str">
        <f>NamaPelanggan!D81</f>
        <v>MUL</v>
      </c>
      <c r="E82" s="21" t="str">
        <f>NamaPelanggan!E81</f>
        <v>TANAH LOS</v>
      </c>
      <c r="F82" s="23">
        <f>NamaPelanggan!H81</f>
        <v>100000</v>
      </c>
      <c r="G82" s="24"/>
      <c r="H82" s="24"/>
      <c r="I82" s="24">
        <v>100000</v>
      </c>
      <c r="J82" s="24"/>
      <c r="K82" s="24"/>
      <c r="L82" s="19" t="str">
        <f t="shared" si="2"/>
        <v>LUNAS</v>
      </c>
      <c r="M82" s="24"/>
      <c r="N82" s="22"/>
      <c r="O82" s="6"/>
      <c r="P82" s="6"/>
      <c r="Q82" s="42">
        <v>73</v>
      </c>
      <c r="R82" s="61" t="str">
        <v>SUM-400</v>
      </c>
      <c r="S82" s="61" t="str">
        <v>SIS</v>
      </c>
      <c r="T82" s="61" t="str">
        <v>SUMBERWATU</v>
      </c>
      <c r="U82" s="63">
        <v>100000</v>
      </c>
    </row>
    <row r="83" spans="1:21" ht="12.75" customHeight="1" x14ac:dyDescent="0.3">
      <c r="A83" s="6"/>
      <c r="B83" s="19">
        <v>80</v>
      </c>
      <c r="C83" s="20" t="str">
        <f>NamaPelanggan!C82</f>
        <v>TAN-080</v>
      </c>
      <c r="D83" s="21" t="str">
        <f>NamaPelanggan!D82</f>
        <v>P.SUL@DANDI</v>
      </c>
      <c r="E83" s="21" t="str">
        <f>NamaPelanggan!E82</f>
        <v>TANAH LOS</v>
      </c>
      <c r="F83" s="23">
        <f>NamaPelanggan!H82</f>
        <v>100000</v>
      </c>
      <c r="G83" s="24"/>
      <c r="H83" s="24"/>
      <c r="I83" s="24">
        <v>100000</v>
      </c>
      <c r="J83" s="24"/>
      <c r="K83" s="24"/>
      <c r="L83" s="19" t="str">
        <f t="shared" si="2"/>
        <v>LUNAS</v>
      </c>
      <c r="M83" s="24"/>
      <c r="N83" s="22"/>
      <c r="O83" s="6"/>
      <c r="P83" s="6"/>
      <c r="Q83" s="42">
        <v>74</v>
      </c>
      <c r="R83" s="61" t="str">
        <v>SUM-403</v>
      </c>
      <c r="S83" s="61" t="str">
        <v>VILA@SERUNI ( terusan )</v>
      </c>
      <c r="T83" s="61" t="str">
        <v>SUMBERWATU</v>
      </c>
      <c r="U83" s="63">
        <v>100000</v>
      </c>
    </row>
    <row r="84" spans="1:21" ht="12.75" customHeight="1" x14ac:dyDescent="0.3">
      <c r="A84" s="6"/>
      <c r="B84" s="19">
        <v>81</v>
      </c>
      <c r="C84" s="20" t="str">
        <f>NamaPelanggan!C83</f>
        <v>TAN-081</v>
      </c>
      <c r="D84" s="21" t="str">
        <f>NamaPelanggan!D83</f>
        <v>REVAN@VILA</v>
      </c>
      <c r="E84" s="21" t="str">
        <f>NamaPelanggan!E83</f>
        <v>TANAH LOS</v>
      </c>
      <c r="F84" s="23">
        <f>NamaPelanggan!H83</f>
        <v>100000</v>
      </c>
      <c r="G84" s="24"/>
      <c r="H84" s="24"/>
      <c r="I84" s="24">
        <v>100000</v>
      </c>
      <c r="J84" s="24"/>
      <c r="K84" s="24"/>
      <c r="L84" s="19" t="str">
        <f t="shared" si="2"/>
        <v>LUNAS</v>
      </c>
      <c r="M84" s="24"/>
      <c r="N84" s="22"/>
      <c r="O84" s="6"/>
      <c r="P84" s="6"/>
      <c r="Q84" s="42">
        <v>75</v>
      </c>
      <c r="R84" s="61" t="str">
        <v>SUM-407</v>
      </c>
      <c r="S84" s="61" t="str">
        <v>SASKIA</v>
      </c>
      <c r="T84" s="61" t="str">
        <v>SUMBERWATU</v>
      </c>
      <c r="U84" s="63">
        <v>100000</v>
      </c>
    </row>
    <row r="85" spans="1:21" ht="12.75" customHeight="1" x14ac:dyDescent="0.3">
      <c r="A85" s="6"/>
      <c r="B85" s="19">
        <v>82</v>
      </c>
      <c r="C85" s="20" t="str">
        <f>NamaPelanggan!C84</f>
        <v>TAN-082</v>
      </c>
      <c r="D85" s="21" t="str">
        <f>NamaPelanggan!D84</f>
        <v>RINA@RAMA / sahlan</v>
      </c>
      <c r="E85" s="21" t="str">
        <f>NamaPelanggan!E84</f>
        <v>TANAH LOS</v>
      </c>
      <c r="F85" s="23">
        <f>NamaPelanggan!H84</f>
        <v>100000</v>
      </c>
      <c r="G85" s="24"/>
      <c r="H85" s="24"/>
      <c r="I85" s="24">
        <v>100000</v>
      </c>
      <c r="J85" s="24"/>
      <c r="K85" s="24"/>
      <c r="L85" s="19" t="str">
        <f t="shared" si="2"/>
        <v>LUNAS</v>
      </c>
      <c r="M85" s="24"/>
      <c r="N85" s="22"/>
      <c r="O85" s="6"/>
      <c r="P85" s="6"/>
      <c r="Q85" s="42">
        <v>76</v>
      </c>
      <c r="R85" s="61" t="str">
        <v>SUM-410</v>
      </c>
      <c r="S85" s="61" t="str">
        <v>AMEL</v>
      </c>
      <c r="T85" s="61" t="str">
        <v>SUMBERWATU</v>
      </c>
      <c r="U85" s="63">
        <v>100000</v>
      </c>
    </row>
    <row r="86" spans="1:21" ht="12.75" customHeight="1" x14ac:dyDescent="0.3">
      <c r="A86" s="6"/>
      <c r="B86" s="19">
        <v>83</v>
      </c>
      <c r="C86" s="20" t="str">
        <f>NamaPelanggan!C85</f>
        <v>TAN-083</v>
      </c>
      <c r="D86" s="21" t="str">
        <f>NamaPelanggan!D85</f>
        <v>rima</v>
      </c>
      <c r="E86" s="21" t="str">
        <f>NamaPelanggan!E85</f>
        <v>TANAH LOS</v>
      </c>
      <c r="F86" s="23">
        <f>NamaPelanggan!H85</f>
        <v>100000</v>
      </c>
      <c r="G86" s="24"/>
      <c r="H86" s="24"/>
      <c r="I86" s="24">
        <v>100000</v>
      </c>
      <c r="J86" s="24"/>
      <c r="K86" s="24"/>
      <c r="L86" s="19" t="str">
        <f t="shared" si="2"/>
        <v>LUNAS</v>
      </c>
      <c r="M86" s="24"/>
      <c r="N86" s="22"/>
      <c r="O86" s="6"/>
      <c r="P86" s="6"/>
      <c r="Q86" s="42">
        <v>77</v>
      </c>
      <c r="R86" s="61" t="str">
        <v>SUM-411</v>
      </c>
      <c r="S86" s="61" t="str">
        <v>usnan</v>
      </c>
      <c r="T86" s="61" t="str">
        <v>SUMBERWATU</v>
      </c>
      <c r="U86" s="63">
        <v>100000</v>
      </c>
    </row>
    <row r="87" spans="1:21" ht="12.75" customHeight="1" x14ac:dyDescent="0.3">
      <c r="A87" s="6"/>
      <c r="B87" s="19">
        <v>84</v>
      </c>
      <c r="C87" s="20" t="str">
        <f>NamaPelanggan!C86</f>
        <v>TAN-084</v>
      </c>
      <c r="D87" s="21" t="str">
        <f>NamaPelanggan!D86</f>
        <v>ROSI@SUBAIRI</v>
      </c>
      <c r="E87" s="21" t="str">
        <f>NamaPelanggan!E86</f>
        <v>TANAH LOS</v>
      </c>
      <c r="F87" s="23">
        <f>NamaPelanggan!H86</f>
        <v>100000</v>
      </c>
      <c r="G87" s="24"/>
      <c r="H87" s="24"/>
      <c r="I87" s="24"/>
      <c r="J87" s="24"/>
      <c r="K87" s="24"/>
      <c r="L87" s="19" t="s">
        <v>550</v>
      </c>
      <c r="M87" s="24"/>
      <c r="N87" s="22"/>
      <c r="O87" s="6"/>
      <c r="P87" s="6"/>
      <c r="Q87" s="42">
        <v>78</v>
      </c>
      <c r="R87" s="61" t="str">
        <v>SUM-426</v>
      </c>
      <c r="S87" s="61" t="str">
        <v>LEKEKO</v>
      </c>
      <c r="T87" s="61" t="str">
        <v>SUMBERWATU</v>
      </c>
      <c r="U87" s="63">
        <v>500000</v>
      </c>
    </row>
    <row r="88" spans="1:21" ht="12.75" customHeight="1" x14ac:dyDescent="0.3">
      <c r="A88" s="6"/>
      <c r="B88" s="19">
        <v>85</v>
      </c>
      <c r="C88" s="20" t="str">
        <f>NamaPelanggan!C87</f>
        <v>TAN-085</v>
      </c>
      <c r="D88" s="21" t="str">
        <f>NamaPelanggan!D87</f>
        <v>SASKIA@RIAN</v>
      </c>
      <c r="E88" s="21" t="str">
        <f>NamaPelanggan!E87</f>
        <v>TANAH LOS</v>
      </c>
      <c r="F88" s="23">
        <f>NamaPelanggan!H87</f>
        <v>100000</v>
      </c>
      <c r="G88" s="24"/>
      <c r="H88" s="24"/>
      <c r="I88" s="24">
        <v>100000</v>
      </c>
      <c r="J88" s="24"/>
      <c r="K88" s="24"/>
      <c r="L88" s="19" t="str">
        <f t="shared" si="2"/>
        <v>LUNAS</v>
      </c>
      <c r="M88" s="24"/>
      <c r="N88" s="22"/>
      <c r="O88" s="6"/>
      <c r="P88" s="6"/>
      <c r="Q88" s="42">
        <v>79</v>
      </c>
      <c r="R88" s="61" t="str">
        <v>TAM-430</v>
      </c>
      <c r="S88" s="61" t="str">
        <v>AGUS@TRIK</v>
      </c>
      <c r="T88" s="61" t="str">
        <v>TAMANSARI</v>
      </c>
      <c r="U88" s="63">
        <v>100000</v>
      </c>
    </row>
    <row r="89" spans="1:21" ht="12.75" customHeight="1" x14ac:dyDescent="0.3">
      <c r="A89" s="6"/>
      <c r="B89" s="19">
        <v>86</v>
      </c>
      <c r="C89" s="20" t="str">
        <f>NamaPelanggan!C88</f>
        <v>TAN-086</v>
      </c>
      <c r="D89" s="21" t="str">
        <f>NamaPelanggan!D88</f>
        <v>SIDOK@VILA</v>
      </c>
      <c r="E89" s="21" t="str">
        <f>NamaPelanggan!E88</f>
        <v>TANAH LOS</v>
      </c>
      <c r="F89" s="23">
        <f>NamaPelanggan!H88</f>
        <v>100000</v>
      </c>
      <c r="G89" s="24"/>
      <c r="H89" s="24"/>
      <c r="I89" s="24">
        <v>100000</v>
      </c>
      <c r="J89" s="24"/>
      <c r="K89" s="24"/>
      <c r="L89" s="19" t="str">
        <f t="shared" si="2"/>
        <v>LUNAS</v>
      </c>
      <c r="M89" s="24"/>
      <c r="N89" s="22"/>
      <c r="O89" s="6"/>
      <c r="P89" s="6"/>
      <c r="Q89" s="42">
        <v>80</v>
      </c>
      <c r="R89" s="61" t="str">
        <v>TAM-432</v>
      </c>
      <c r="S89" s="61" t="str">
        <v>BAKIR</v>
      </c>
      <c r="T89" s="61" t="str">
        <v>TAMANSARI</v>
      </c>
      <c r="U89" s="63">
        <v>100000</v>
      </c>
    </row>
    <row r="90" spans="1:21" ht="12.75" customHeight="1" x14ac:dyDescent="0.3">
      <c r="A90" s="6"/>
      <c r="B90" s="19">
        <v>87</v>
      </c>
      <c r="C90" s="20" t="str">
        <f>NamaPelanggan!C89</f>
        <v>TAN-087</v>
      </c>
      <c r="D90" s="21" t="str">
        <f>NamaPelanggan!D89</f>
        <v>SLAMETTN</v>
      </c>
      <c r="E90" s="21" t="str">
        <f>NamaPelanggan!E89</f>
        <v>TANAH LOS</v>
      </c>
      <c r="F90" s="23">
        <f>NamaPelanggan!H89</f>
        <v>100000</v>
      </c>
      <c r="G90" s="24"/>
      <c r="H90" s="24"/>
      <c r="I90" s="24">
        <v>100000</v>
      </c>
      <c r="J90" s="24"/>
      <c r="K90" s="24"/>
      <c r="L90" s="19" t="str">
        <f t="shared" si="2"/>
        <v>LUNAS</v>
      </c>
      <c r="M90" s="24"/>
      <c r="N90" s="22"/>
      <c r="O90" s="6"/>
      <c r="P90" s="6"/>
      <c r="Q90" s="42">
        <v>81</v>
      </c>
      <c r="R90" s="61" t="str">
        <v>TAM-457</v>
      </c>
      <c r="S90" s="61" t="str">
        <v>TOPAN</v>
      </c>
      <c r="T90" s="61" t="str">
        <v>TAMANSARI</v>
      </c>
      <c r="U90" s="63">
        <v>100000</v>
      </c>
    </row>
    <row r="91" spans="1:21" ht="12.75" customHeight="1" x14ac:dyDescent="0.3">
      <c r="A91" s="6"/>
      <c r="B91" s="19">
        <v>88</v>
      </c>
      <c r="C91" s="20" t="str">
        <f>NamaPelanggan!C90</f>
        <v>TAN-088</v>
      </c>
      <c r="D91" s="21" t="str">
        <f>NamaPelanggan!D90</f>
        <v>SUGIMAN@VILA</v>
      </c>
      <c r="E91" s="21" t="str">
        <f>NamaPelanggan!E90</f>
        <v>TANAH LOS</v>
      </c>
      <c r="F91" s="23">
        <f>NamaPelanggan!H90</f>
        <v>100000</v>
      </c>
      <c r="G91" s="24"/>
      <c r="H91" s="24"/>
      <c r="I91" s="24">
        <v>100000</v>
      </c>
      <c r="J91" s="24"/>
      <c r="K91" s="24"/>
      <c r="L91" s="19" t="str">
        <f t="shared" si="2"/>
        <v>LUNAS</v>
      </c>
      <c r="M91" s="24"/>
      <c r="N91" s="22"/>
      <c r="O91" s="6"/>
      <c r="P91" s="6"/>
      <c r="Q91" s="42">
        <v>82</v>
      </c>
      <c r="R91" s="61" t="str">
        <v>TAM-483</v>
      </c>
      <c r="S91" s="61" t="str">
        <v>DIDIK@ADIT</v>
      </c>
      <c r="T91" s="61" t="str">
        <v>TAMANSARI</v>
      </c>
      <c r="U91" s="63">
        <v>150000</v>
      </c>
    </row>
    <row r="92" spans="1:21" ht="12.75" customHeight="1" x14ac:dyDescent="0.3">
      <c r="A92" s="6"/>
      <c r="B92" s="19">
        <v>89</v>
      </c>
      <c r="C92" s="20" t="str">
        <f>NamaPelanggan!C91</f>
        <v>TAN-089</v>
      </c>
      <c r="D92" s="21" t="str">
        <f>NamaPelanggan!D91</f>
        <v>SUS@VILA</v>
      </c>
      <c r="E92" s="21" t="str">
        <f>NamaPelanggan!E91</f>
        <v>TANAH LOS</v>
      </c>
      <c r="F92" s="23">
        <f>NamaPelanggan!H91</f>
        <v>100000</v>
      </c>
      <c r="G92" s="24"/>
      <c r="H92" s="24"/>
      <c r="I92" s="24">
        <v>100000</v>
      </c>
      <c r="J92" s="24"/>
      <c r="K92" s="24"/>
      <c r="L92" s="19" t="str">
        <f t="shared" si="2"/>
        <v>LUNAS</v>
      </c>
      <c r="M92" s="24"/>
      <c r="N92" s="22"/>
      <c r="O92" s="6"/>
      <c r="P92" s="6"/>
      <c r="Q92" s="42">
        <v>83</v>
      </c>
      <c r="R92" s="61" t="str">
        <v>TAM-488</v>
      </c>
      <c r="S92" s="61" t="str">
        <v>YAYAN@MIRNA</v>
      </c>
      <c r="T92" s="61" t="str">
        <v>TAMANSARI</v>
      </c>
      <c r="U92" s="63">
        <v>200000</v>
      </c>
    </row>
    <row r="93" spans="1:21" ht="12.75" customHeight="1" x14ac:dyDescent="0.3">
      <c r="A93" s="6"/>
      <c r="B93" s="19">
        <v>90</v>
      </c>
      <c r="C93" s="20" t="str">
        <f>NamaPelanggan!C92</f>
        <v>TAN-090</v>
      </c>
      <c r="D93" s="21" t="str">
        <f>NamaPelanggan!D92</f>
        <v>VINA@ASTUTI</v>
      </c>
      <c r="E93" s="21" t="str">
        <f>NamaPelanggan!E92</f>
        <v>TANAH LOS</v>
      </c>
      <c r="F93" s="23">
        <f>NamaPelanggan!H92</f>
        <v>100000</v>
      </c>
      <c r="G93" s="24"/>
      <c r="H93" s="24"/>
      <c r="I93" s="24">
        <v>100000</v>
      </c>
      <c r="J93" s="24"/>
      <c r="K93" s="24"/>
      <c r="L93" s="19" t="str">
        <f t="shared" si="2"/>
        <v>LUNAS</v>
      </c>
      <c r="M93" s="24"/>
      <c r="N93" s="22"/>
      <c r="O93" s="6"/>
      <c r="P93" s="6"/>
      <c r="Q93" s="42">
        <v>84</v>
      </c>
      <c r="R93" s="61" t="str">
        <v>TAN-496</v>
      </c>
      <c r="S93" s="61" t="str">
        <v>mawardi</v>
      </c>
      <c r="T93" s="61" t="str">
        <v>tanahlos</v>
      </c>
      <c r="U93" s="63">
        <v>100000</v>
      </c>
    </row>
    <row r="94" spans="1:21" ht="12.75" customHeight="1" x14ac:dyDescent="0.3">
      <c r="A94" s="6"/>
      <c r="B94" s="19">
        <v>91</v>
      </c>
      <c r="C94" s="20" t="str">
        <f>NamaPelanggan!C93</f>
        <v>TAN-091</v>
      </c>
      <c r="D94" s="21" t="str">
        <f>NamaPelanggan!D93</f>
        <v>YATNO@IKRIMA</v>
      </c>
      <c r="E94" s="21" t="str">
        <f>NamaPelanggan!E93</f>
        <v>TANAH LOS</v>
      </c>
      <c r="F94" s="23">
        <f>NamaPelanggan!H93</f>
        <v>100000</v>
      </c>
      <c r="G94" s="24"/>
      <c r="H94" s="24"/>
      <c r="I94" s="24">
        <v>100000</v>
      </c>
      <c r="J94" s="24"/>
      <c r="K94" s="24"/>
      <c r="L94" s="19" t="str">
        <f t="shared" si="2"/>
        <v>LUNAS</v>
      </c>
      <c r="M94" s="24"/>
      <c r="N94" s="22"/>
      <c r="O94" s="6"/>
      <c r="P94" s="6"/>
      <c r="Q94" s="42">
        <v>85</v>
      </c>
      <c r="R94" s="61" t="str">
        <v>TAM-497</v>
      </c>
      <c r="S94" s="61" t="str">
        <v>cinta</v>
      </c>
      <c r="T94" s="61" t="str">
        <v>tamansari</v>
      </c>
      <c r="U94" s="63">
        <v>100000</v>
      </c>
    </row>
    <row r="95" spans="1:21" ht="12.75" customHeight="1" x14ac:dyDescent="0.3">
      <c r="A95" s="6"/>
      <c r="B95" s="19">
        <v>92</v>
      </c>
      <c r="C95" s="20" t="str">
        <f>NamaPelanggan!C94</f>
        <v>TAN-092</v>
      </c>
      <c r="D95" s="21" t="str">
        <f>NamaPelanggan!D94</f>
        <v>alishanazwa</v>
      </c>
      <c r="E95" s="21" t="str">
        <f>NamaPelanggan!E94</f>
        <v>TANAH LOS</v>
      </c>
      <c r="F95" s="23">
        <f>NamaPelanggan!H94</f>
        <v>100000</v>
      </c>
      <c r="G95" s="24"/>
      <c r="H95" s="24"/>
      <c r="I95" s="24">
        <v>100000</v>
      </c>
      <c r="J95" s="24"/>
      <c r="K95" s="24"/>
      <c r="L95" s="19" t="str">
        <f t="shared" si="2"/>
        <v>LUNAS</v>
      </c>
      <c r="M95" s="24"/>
      <c r="N95" s="22"/>
      <c r="O95" s="6"/>
      <c r="P95" s="6"/>
      <c r="Q95" s="6"/>
    </row>
    <row r="96" spans="1:21" ht="12.75" customHeight="1" x14ac:dyDescent="0.3">
      <c r="A96" s="6"/>
      <c r="B96" s="19">
        <v>93</v>
      </c>
      <c r="C96" s="20" t="str">
        <f>NamaPelanggan!C95</f>
        <v>TAN-093</v>
      </c>
      <c r="D96" s="21" t="str">
        <f>NamaPelanggan!D95</f>
        <v>bagus</v>
      </c>
      <c r="E96" s="21" t="str">
        <f>NamaPelanggan!E95</f>
        <v>TANAH LOS</v>
      </c>
      <c r="F96" s="23">
        <f>NamaPelanggan!H95</f>
        <v>100000</v>
      </c>
      <c r="G96" s="24"/>
      <c r="H96" s="24"/>
      <c r="I96" s="24">
        <v>100000</v>
      </c>
      <c r="J96" s="24"/>
      <c r="K96" s="24"/>
      <c r="L96" s="19" t="str">
        <f t="shared" ref="L96:L126" si="3">IF(SUM(G96:K96)&gt;0,"LUNAS","BELUM LUNAS")</f>
        <v>LUNAS</v>
      </c>
      <c r="M96" s="24"/>
      <c r="N96" s="22"/>
      <c r="O96" s="6"/>
      <c r="P96" s="6"/>
      <c r="Q96" s="6"/>
    </row>
    <row r="97" spans="1:17" ht="12.75" customHeight="1" x14ac:dyDescent="0.3">
      <c r="A97" s="6"/>
      <c r="B97" s="19">
        <v>94</v>
      </c>
      <c r="C97" s="20" t="str">
        <f>NamaPelanggan!C96</f>
        <v>TAN-094</v>
      </c>
      <c r="D97" s="21" t="str">
        <f>NamaPelanggan!D96</f>
        <v>marcel</v>
      </c>
      <c r="E97" s="21" t="str">
        <f>NamaPelanggan!E96</f>
        <v>TANAH LOS</v>
      </c>
      <c r="F97" s="23">
        <f>NamaPelanggan!H96</f>
        <v>100000</v>
      </c>
      <c r="G97" s="24"/>
      <c r="H97" s="24"/>
      <c r="I97" s="24"/>
      <c r="J97" s="24"/>
      <c r="K97" s="24"/>
      <c r="L97" s="19" t="str">
        <f t="shared" si="3"/>
        <v>BELUM LUNAS</v>
      </c>
      <c r="M97" s="24">
        <v>100000</v>
      </c>
      <c r="N97" s="22" t="s">
        <v>574</v>
      </c>
      <c r="O97" s="6"/>
      <c r="P97" s="6"/>
      <c r="Q97" s="6"/>
    </row>
    <row r="98" spans="1:17" ht="12.75" customHeight="1" x14ac:dyDescent="0.3">
      <c r="A98" s="6"/>
      <c r="B98" s="19">
        <v>95</v>
      </c>
      <c r="C98" s="20" t="str">
        <f>NamaPelanggan!C97</f>
        <v>TAN-095</v>
      </c>
      <c r="D98" s="21" t="str">
        <f>NamaPelanggan!D97</f>
        <v>sumantoro</v>
      </c>
      <c r="E98" s="21" t="str">
        <f>NamaPelanggan!E97</f>
        <v>TANAH LOS</v>
      </c>
      <c r="F98" s="23">
        <f>NamaPelanggan!H97</f>
        <v>100000</v>
      </c>
      <c r="G98" s="24"/>
      <c r="H98" s="24"/>
      <c r="I98" s="24">
        <v>100000</v>
      </c>
      <c r="J98" s="24"/>
      <c r="K98" s="24"/>
      <c r="L98" s="19" t="str">
        <f t="shared" si="3"/>
        <v>LUNAS</v>
      </c>
      <c r="M98" s="24"/>
      <c r="N98" s="22"/>
      <c r="O98" s="6"/>
      <c r="P98" s="6"/>
      <c r="Q98" s="6"/>
    </row>
    <row r="99" spans="1:17" ht="12.75" customHeight="1" x14ac:dyDescent="0.3">
      <c r="A99" s="6"/>
      <c r="B99" s="19">
        <v>96</v>
      </c>
      <c r="C99" s="20" t="str">
        <f>NamaPelanggan!C98</f>
        <v>TAN-096</v>
      </c>
      <c r="D99" s="21" t="str">
        <f>NamaPelanggan!D98</f>
        <v>varel</v>
      </c>
      <c r="E99" s="21" t="str">
        <f>NamaPelanggan!E98</f>
        <v>TANAH LOS</v>
      </c>
      <c r="F99" s="23">
        <f>NamaPelanggan!H98</f>
        <v>100000</v>
      </c>
      <c r="G99" s="24"/>
      <c r="H99" s="24"/>
      <c r="I99" s="24">
        <v>100000</v>
      </c>
      <c r="J99" s="24"/>
      <c r="K99" s="24"/>
      <c r="L99" s="19" t="str">
        <f t="shared" si="3"/>
        <v>LUNAS</v>
      </c>
      <c r="M99" s="24"/>
      <c r="N99" s="22"/>
      <c r="O99" s="6"/>
      <c r="P99" s="6"/>
      <c r="Q99" s="6"/>
    </row>
    <row r="100" spans="1:17" ht="12.75" customHeight="1" x14ac:dyDescent="0.3">
      <c r="A100" s="6"/>
      <c r="B100" s="19">
        <v>97</v>
      </c>
      <c r="C100" s="20" t="str">
        <f>NamaPelanggan!C99</f>
        <v>TAN-097</v>
      </c>
      <c r="D100" s="21" t="str">
        <f>NamaPelanggan!D99</f>
        <v>oktavia</v>
      </c>
      <c r="E100" s="21" t="str">
        <f>NamaPelanggan!E99</f>
        <v>TANAH LOS</v>
      </c>
      <c r="F100" s="23">
        <f>NamaPelanggan!H99</f>
        <v>100000</v>
      </c>
      <c r="G100" s="24"/>
      <c r="H100" s="24"/>
      <c r="I100" s="24">
        <v>100000</v>
      </c>
      <c r="J100" s="24"/>
      <c r="K100" s="24"/>
      <c r="L100" s="19" t="str">
        <f t="shared" si="3"/>
        <v>LUNAS</v>
      </c>
      <c r="M100" s="24"/>
      <c r="N100" s="22"/>
      <c r="O100" s="6"/>
      <c r="P100" s="6"/>
      <c r="Q100" s="6"/>
    </row>
    <row r="101" spans="1:17" ht="12.75" customHeight="1" x14ac:dyDescent="0.3">
      <c r="A101" s="6"/>
      <c r="B101" s="19">
        <v>98</v>
      </c>
      <c r="C101" s="20" t="str">
        <f>NamaPelanggan!C100</f>
        <v>TAN-098</v>
      </c>
      <c r="D101" s="21" t="str">
        <f>NamaPelanggan!D100</f>
        <v>sunarso</v>
      </c>
      <c r="E101" s="21" t="str">
        <f>NamaPelanggan!E100</f>
        <v>TANAH LOS</v>
      </c>
      <c r="F101" s="23">
        <f>NamaPelanggan!H100</f>
        <v>100000</v>
      </c>
      <c r="G101" s="24"/>
      <c r="H101" s="24"/>
      <c r="I101" s="24">
        <v>100000</v>
      </c>
      <c r="J101" s="24"/>
      <c r="K101" s="24"/>
      <c r="L101" s="19" t="str">
        <f t="shared" si="3"/>
        <v>LUNAS</v>
      </c>
      <c r="M101" s="24"/>
      <c r="N101" s="22"/>
      <c r="O101" s="6"/>
      <c r="P101" s="6"/>
      <c r="Q101" s="6"/>
    </row>
    <row r="102" spans="1:17" ht="12.75" customHeight="1" x14ac:dyDescent="0.3">
      <c r="A102" s="6"/>
      <c r="B102" s="19">
        <v>99</v>
      </c>
      <c r="C102" s="20" t="str">
        <f>NamaPelanggan!C101</f>
        <v>TAN-099</v>
      </c>
      <c r="D102" s="21" t="str">
        <f>NamaPelanggan!D101</f>
        <v>Nanang@Caca</v>
      </c>
      <c r="E102" s="21" t="str">
        <f>NamaPelanggan!E101</f>
        <v>TANAH LOS</v>
      </c>
      <c r="F102" s="23">
        <f>NamaPelanggan!H101</f>
        <v>100000</v>
      </c>
      <c r="G102" s="24"/>
      <c r="H102" s="24"/>
      <c r="I102" s="24">
        <v>100000</v>
      </c>
      <c r="J102" s="24"/>
      <c r="K102" s="24"/>
      <c r="L102" s="19" t="str">
        <f t="shared" si="3"/>
        <v>LUNAS</v>
      </c>
      <c r="M102" s="24"/>
      <c r="N102" s="22"/>
      <c r="O102" s="6"/>
      <c r="P102" s="6"/>
      <c r="Q102" s="6"/>
    </row>
    <row r="103" spans="1:17" ht="12.75" customHeight="1" x14ac:dyDescent="0.3">
      <c r="A103" s="6"/>
      <c r="B103" s="19">
        <v>100</v>
      </c>
      <c r="C103" s="20" t="str">
        <f>NamaPelanggan!C102</f>
        <v>TAN-100</v>
      </c>
      <c r="D103" s="21" t="str">
        <f>NamaPelanggan!D102</f>
        <v>wiwin</v>
      </c>
      <c r="E103" s="21" t="str">
        <f>NamaPelanggan!E102</f>
        <v>TANAH LOS</v>
      </c>
      <c r="F103" s="23">
        <f>NamaPelanggan!H102</f>
        <v>100000</v>
      </c>
      <c r="G103" s="24"/>
      <c r="H103" s="24"/>
      <c r="I103" s="24">
        <v>100000</v>
      </c>
      <c r="J103" s="24"/>
      <c r="K103" s="24"/>
      <c r="L103" s="19" t="str">
        <f t="shared" si="3"/>
        <v>LUNAS</v>
      </c>
      <c r="M103" s="24"/>
      <c r="N103" s="22"/>
      <c r="O103" s="6"/>
      <c r="P103" s="6"/>
      <c r="Q103" s="6"/>
    </row>
    <row r="104" spans="1:17" ht="12.75" customHeight="1" x14ac:dyDescent="0.3">
      <c r="A104" s="6"/>
      <c r="B104" s="19">
        <v>101</v>
      </c>
      <c r="C104" s="20" t="str">
        <f>NamaPelanggan!C103</f>
        <v>TAN-101</v>
      </c>
      <c r="D104" s="21" t="str">
        <f>NamaPelanggan!D103</f>
        <v>ayuk</v>
      </c>
      <c r="E104" s="21" t="str">
        <f>NamaPelanggan!E103</f>
        <v>TANAH LOS</v>
      </c>
      <c r="F104" s="23">
        <f>NamaPelanggan!H103</f>
        <v>100000</v>
      </c>
      <c r="G104" s="24"/>
      <c r="H104" s="24">
        <v>100000</v>
      </c>
      <c r="I104" s="24"/>
      <c r="J104" s="24"/>
      <c r="K104" s="24"/>
      <c r="L104" s="19" t="str">
        <f t="shared" si="3"/>
        <v>LUNAS</v>
      </c>
      <c r="M104" s="24"/>
      <c r="N104" s="22"/>
      <c r="O104" s="6"/>
      <c r="P104" s="6"/>
      <c r="Q104" s="6"/>
    </row>
    <row r="105" spans="1:17" ht="12.75" customHeight="1" x14ac:dyDescent="0.3">
      <c r="A105" s="6"/>
      <c r="B105" s="19">
        <v>102</v>
      </c>
      <c r="C105" s="20" t="str">
        <f>NamaPelanggan!C104</f>
        <v>TAN-102</v>
      </c>
      <c r="D105" s="21" t="str">
        <f>NamaPelanggan!D104</f>
        <v>SITISP</v>
      </c>
      <c r="E105" s="21" t="str">
        <f>NamaPelanggan!E104</f>
        <v>TANAH LOS</v>
      </c>
      <c r="F105" s="23">
        <f>NamaPelanggan!H104</f>
        <v>100000</v>
      </c>
      <c r="G105" s="24"/>
      <c r="H105" s="24"/>
      <c r="I105" s="24"/>
      <c r="J105" s="24"/>
      <c r="K105" s="24"/>
      <c r="L105" s="19" t="str">
        <f t="shared" si="3"/>
        <v>BELUM LUNAS</v>
      </c>
      <c r="M105" s="24">
        <v>400000</v>
      </c>
      <c r="N105" s="22" t="s">
        <v>576</v>
      </c>
      <c r="O105" s="6"/>
      <c r="P105" s="6"/>
      <c r="Q105" s="6"/>
    </row>
    <row r="106" spans="1:17" ht="12.75" customHeight="1" x14ac:dyDescent="0.3">
      <c r="A106" s="6"/>
      <c r="B106" s="19">
        <v>103</v>
      </c>
      <c r="C106" s="20" t="str">
        <f>NamaPelanggan!C105</f>
        <v>TAN-103</v>
      </c>
      <c r="D106" s="21" t="str">
        <f>NamaPelanggan!D105</f>
        <v>SUKIS@ILHAM</v>
      </c>
      <c r="E106" s="21" t="str">
        <f>NamaPelanggan!E105</f>
        <v>TANAH LOS</v>
      </c>
      <c r="F106" s="23">
        <f>NamaPelanggan!H105</f>
        <v>100000</v>
      </c>
      <c r="G106" s="24"/>
      <c r="H106" s="24"/>
      <c r="I106" s="24">
        <v>100000</v>
      </c>
      <c r="J106" s="24"/>
      <c r="K106" s="24"/>
      <c r="L106" s="19" t="str">
        <f t="shared" si="3"/>
        <v>LUNAS</v>
      </c>
      <c r="M106" s="24"/>
      <c r="N106" s="22"/>
      <c r="O106" s="6"/>
      <c r="P106" s="6"/>
      <c r="Q106" s="6"/>
    </row>
    <row r="107" spans="1:17" ht="13.25" customHeight="1" x14ac:dyDescent="0.3">
      <c r="A107" s="6"/>
      <c r="B107" s="19">
        <v>104</v>
      </c>
      <c r="C107" s="20" t="str">
        <f>NamaPelanggan!C106</f>
        <v>TAN-104</v>
      </c>
      <c r="D107" s="21" t="str">
        <f>NamaPelanggan!D106</f>
        <v>SUPANYA@NO</v>
      </c>
      <c r="E107" s="21" t="str">
        <f>NamaPelanggan!E106</f>
        <v>TANAH LOS</v>
      </c>
      <c r="F107" s="23">
        <f>NamaPelanggan!H106</f>
        <v>100000</v>
      </c>
      <c r="G107" s="24"/>
      <c r="H107" s="24"/>
      <c r="I107" s="24">
        <v>100000</v>
      </c>
      <c r="J107" s="24"/>
      <c r="K107" s="24"/>
      <c r="L107" s="19" t="str">
        <f t="shared" si="3"/>
        <v>LUNAS</v>
      </c>
      <c r="M107" s="24"/>
      <c r="N107" s="22"/>
      <c r="O107" s="6"/>
      <c r="P107" s="6"/>
      <c r="Q107" s="6"/>
    </row>
    <row r="108" spans="1:17" ht="12.75" customHeight="1" x14ac:dyDescent="0.3">
      <c r="A108" s="6"/>
      <c r="B108" s="19">
        <v>105</v>
      </c>
      <c r="C108" s="20" t="str">
        <f>NamaPelanggan!C107</f>
        <v>TAN-105</v>
      </c>
      <c r="D108" s="21" t="str">
        <f>NamaPelanggan!D107</f>
        <v>DWI@TIRTA</v>
      </c>
      <c r="E108" s="21" t="str">
        <f>NamaPelanggan!E107</f>
        <v>TANAH LOS</v>
      </c>
      <c r="F108" s="23">
        <f>NamaPelanggan!H107</f>
        <v>100000</v>
      </c>
      <c r="G108" s="24"/>
      <c r="H108" s="24"/>
      <c r="I108" s="24"/>
      <c r="J108" s="24"/>
      <c r="K108" s="24"/>
      <c r="L108" s="19" t="s">
        <v>550</v>
      </c>
      <c r="M108" s="24"/>
      <c r="N108" s="22"/>
      <c r="O108" s="6"/>
      <c r="P108" s="6"/>
      <c r="Q108" s="6"/>
    </row>
    <row r="109" spans="1:17" ht="12.75" customHeight="1" x14ac:dyDescent="0.3">
      <c r="A109" s="6"/>
      <c r="B109" s="19">
        <v>106</v>
      </c>
      <c r="C109" s="20" t="str">
        <f>NamaPelanggan!C108</f>
        <v>JAM-106</v>
      </c>
      <c r="D109" s="21" t="str">
        <f>NamaPelanggan!D108</f>
        <v>AAN@EZA</v>
      </c>
      <c r="E109" s="21" t="str">
        <f>NamaPelanggan!E108</f>
        <v>JAMBU</v>
      </c>
      <c r="F109" s="23">
        <f>NamaPelanggan!H108</f>
        <v>100000</v>
      </c>
      <c r="G109" s="24"/>
      <c r="H109" s="24"/>
      <c r="I109" s="24">
        <v>100000</v>
      </c>
      <c r="J109" s="24"/>
      <c r="K109" s="24"/>
      <c r="L109" s="19" t="str">
        <f t="shared" si="3"/>
        <v>LUNAS</v>
      </c>
      <c r="M109" s="24"/>
      <c r="N109" s="22"/>
      <c r="O109" s="6"/>
      <c r="P109" s="6"/>
      <c r="Q109" s="6"/>
    </row>
    <row r="110" spans="1:17" ht="12.75" customHeight="1" x14ac:dyDescent="0.3">
      <c r="A110" s="6"/>
      <c r="B110" s="19">
        <v>107</v>
      </c>
      <c r="C110" s="20" t="str">
        <f>NamaPelanggan!C109</f>
        <v>JAM-107</v>
      </c>
      <c r="D110" s="21" t="str">
        <f>NamaPelanggan!D109</f>
        <v>AAS@JAMAN</v>
      </c>
      <c r="E110" s="21" t="str">
        <f>NamaPelanggan!E109</f>
        <v>JAMBU</v>
      </c>
      <c r="F110" s="23">
        <f>NamaPelanggan!H109</f>
        <v>100000</v>
      </c>
      <c r="G110" s="24"/>
      <c r="H110" s="24"/>
      <c r="I110" s="24">
        <v>100000</v>
      </c>
      <c r="J110" s="24"/>
      <c r="K110" s="24"/>
      <c r="L110" s="19" t="str">
        <f t="shared" si="3"/>
        <v>LUNAS</v>
      </c>
      <c r="M110" s="24"/>
      <c r="N110" s="22"/>
      <c r="O110" s="6"/>
      <c r="P110" s="6"/>
      <c r="Q110" s="6"/>
    </row>
    <row r="111" spans="1:17" ht="12.75" customHeight="1" x14ac:dyDescent="0.3">
      <c r="A111" s="6"/>
      <c r="B111" s="19">
        <v>108</v>
      </c>
      <c r="C111" s="20" t="str">
        <f>NamaPelanggan!C110</f>
        <v>JAM-108</v>
      </c>
      <c r="D111" s="21" t="str">
        <f>NamaPelanggan!D110</f>
        <v>AINUL@MUJI</v>
      </c>
      <c r="E111" s="21" t="str">
        <f>NamaPelanggan!E110</f>
        <v>JAMBU</v>
      </c>
      <c r="F111" s="23">
        <f>NamaPelanggan!H110</f>
        <v>100000</v>
      </c>
      <c r="G111" s="24"/>
      <c r="H111" s="24"/>
      <c r="I111" s="24">
        <v>100000</v>
      </c>
      <c r="J111" s="24"/>
      <c r="K111" s="24"/>
      <c r="L111" s="19" t="str">
        <f t="shared" si="3"/>
        <v>LUNAS</v>
      </c>
      <c r="M111" s="24"/>
      <c r="N111" s="22"/>
      <c r="O111" s="6"/>
      <c r="P111" s="6"/>
      <c r="Q111" s="6"/>
    </row>
    <row r="112" spans="1:17" ht="12.75" customHeight="1" x14ac:dyDescent="0.3">
      <c r="A112" s="6"/>
      <c r="B112" s="19">
        <v>109</v>
      </c>
      <c r="C112" s="20" t="str">
        <f>NamaPelanggan!C111</f>
        <v>JAM-109</v>
      </c>
      <c r="D112" s="21" t="str">
        <f>NamaPelanggan!D111</f>
        <v>ALVIN</v>
      </c>
      <c r="E112" s="21" t="str">
        <f>NamaPelanggan!E111</f>
        <v>JAMBU</v>
      </c>
      <c r="F112" s="23">
        <f>NamaPelanggan!H111</f>
        <v>100000</v>
      </c>
      <c r="G112" s="24"/>
      <c r="H112" s="24"/>
      <c r="I112" s="24">
        <v>100000</v>
      </c>
      <c r="J112" s="24"/>
      <c r="K112" s="24"/>
      <c r="L112" s="19" t="str">
        <f t="shared" si="3"/>
        <v>LUNAS</v>
      </c>
      <c r="M112" s="24"/>
      <c r="N112" s="22"/>
      <c r="O112" s="6"/>
      <c r="P112" s="6"/>
      <c r="Q112" s="6"/>
    </row>
    <row r="113" spans="1:17" ht="12.75" customHeight="1" x14ac:dyDescent="0.3">
      <c r="A113" s="6"/>
      <c r="B113" s="19">
        <v>110</v>
      </c>
      <c r="C113" s="20" t="str">
        <f>NamaPelanggan!C112</f>
        <v>JAM-110</v>
      </c>
      <c r="D113" s="21" t="str">
        <f>NamaPelanggan!D112</f>
        <v>AMAH@P.PUPUT / rohman</v>
      </c>
      <c r="E113" s="21" t="str">
        <f>NamaPelanggan!E112</f>
        <v>JAMBU</v>
      </c>
      <c r="F113" s="23">
        <f>NamaPelanggan!H112</f>
        <v>100000</v>
      </c>
      <c r="G113" s="24"/>
      <c r="H113" s="24"/>
      <c r="I113" s="24">
        <v>100000</v>
      </c>
      <c r="J113" s="24"/>
      <c r="K113" s="24"/>
      <c r="L113" s="19" t="str">
        <f t="shared" si="3"/>
        <v>LUNAS</v>
      </c>
      <c r="M113" s="24"/>
      <c r="N113" s="22"/>
      <c r="O113" s="6"/>
      <c r="P113" s="6"/>
      <c r="Q113" s="6"/>
    </row>
    <row r="114" spans="1:17" ht="12.75" customHeight="1" x14ac:dyDescent="0.3">
      <c r="A114" s="6"/>
      <c r="B114" s="19">
        <v>111</v>
      </c>
      <c r="C114" s="20" t="str">
        <f>NamaPelanggan!C113</f>
        <v>JAM-111</v>
      </c>
      <c r="D114" s="21" t="str">
        <f>NamaPelanggan!D113</f>
        <v>ASRIL@SULIS</v>
      </c>
      <c r="E114" s="21" t="str">
        <f>NamaPelanggan!E113</f>
        <v>JAMBU</v>
      </c>
      <c r="F114" s="23">
        <f>NamaPelanggan!H113</f>
        <v>100000</v>
      </c>
      <c r="G114" s="24"/>
      <c r="H114" s="24"/>
      <c r="I114" s="24">
        <v>100000</v>
      </c>
      <c r="J114" s="24"/>
      <c r="K114" s="24"/>
      <c r="L114" s="19" t="s">
        <v>550</v>
      </c>
      <c r="M114" s="24"/>
      <c r="N114" s="22"/>
      <c r="O114" s="6"/>
      <c r="P114" s="6"/>
      <c r="Q114" s="6"/>
    </row>
    <row r="115" spans="1:17" ht="12.75" customHeight="1" x14ac:dyDescent="0.3">
      <c r="A115" s="6"/>
      <c r="B115" s="19">
        <v>112</v>
      </c>
      <c r="C115" s="20" t="str">
        <f>NamaPelanggan!C114</f>
        <v>JAM-112</v>
      </c>
      <c r="D115" s="21" t="str">
        <f>NamaPelanggan!D114</f>
        <v>AYUB</v>
      </c>
      <c r="E115" s="21" t="str">
        <f>NamaPelanggan!E114</f>
        <v>JAMBU</v>
      </c>
      <c r="F115" s="23">
        <f>NamaPelanggan!H114</f>
        <v>100000</v>
      </c>
      <c r="G115" s="24"/>
      <c r="H115" s="24"/>
      <c r="I115" s="24">
        <v>100000</v>
      </c>
      <c r="J115" s="24"/>
      <c r="K115" s="24"/>
      <c r="L115" s="19" t="str">
        <f t="shared" si="3"/>
        <v>LUNAS</v>
      </c>
      <c r="M115" s="24"/>
      <c r="N115" s="22"/>
      <c r="O115" s="6"/>
      <c r="P115" s="6"/>
      <c r="Q115" s="6"/>
    </row>
    <row r="116" spans="1:17" ht="12.75" customHeight="1" x14ac:dyDescent="0.3">
      <c r="A116" s="6"/>
      <c r="B116" s="19">
        <v>113</v>
      </c>
      <c r="C116" s="20" t="str">
        <f>NamaPelanggan!C115</f>
        <v>JAM-113</v>
      </c>
      <c r="D116" s="21" t="str">
        <f>NamaPelanggan!D115</f>
        <v>DIANA</v>
      </c>
      <c r="E116" s="21" t="str">
        <f>NamaPelanggan!E115</f>
        <v>JAMBU</v>
      </c>
      <c r="F116" s="23">
        <f>NamaPelanggan!H115</f>
        <v>100000</v>
      </c>
      <c r="G116" s="24"/>
      <c r="H116" s="24"/>
      <c r="I116" s="24">
        <v>100000</v>
      </c>
      <c r="J116" s="24"/>
      <c r="K116" s="24"/>
      <c r="L116" s="19" t="str">
        <f t="shared" si="3"/>
        <v>LUNAS</v>
      </c>
      <c r="M116" s="24"/>
      <c r="N116" s="22"/>
      <c r="O116" s="6"/>
      <c r="P116" s="6"/>
      <c r="Q116" s="6"/>
    </row>
    <row r="117" spans="1:17" ht="12.75" customHeight="1" x14ac:dyDescent="0.3">
      <c r="A117" s="6"/>
      <c r="B117" s="19">
        <v>114</v>
      </c>
      <c r="C117" s="20" t="str">
        <f>NamaPelanggan!C116</f>
        <v>JAM-114</v>
      </c>
      <c r="D117" s="21" t="str">
        <f>NamaPelanggan!D116</f>
        <v>DOWIK</v>
      </c>
      <c r="E117" s="21" t="str">
        <f>NamaPelanggan!E116</f>
        <v>JAMBU</v>
      </c>
      <c r="F117" s="23">
        <f>NamaPelanggan!H116</f>
        <v>100000</v>
      </c>
      <c r="G117" s="24"/>
      <c r="H117" s="24"/>
      <c r="I117" s="24">
        <v>100000</v>
      </c>
      <c r="J117" s="24"/>
      <c r="K117" s="24"/>
      <c r="L117" s="19" t="str">
        <f t="shared" si="3"/>
        <v>LUNAS</v>
      </c>
      <c r="M117" s="24"/>
      <c r="N117" s="22"/>
      <c r="O117" s="6"/>
      <c r="P117" s="6"/>
      <c r="Q117" s="6"/>
    </row>
    <row r="118" spans="1:17" ht="12.75" customHeight="1" x14ac:dyDescent="0.3">
      <c r="A118" s="6"/>
      <c r="B118" s="19">
        <v>115</v>
      </c>
      <c r="C118" s="20" t="str">
        <f>NamaPelanggan!C117</f>
        <v>JAM-115</v>
      </c>
      <c r="D118" s="21" t="str">
        <f>NamaPelanggan!D117</f>
        <v>GUDANG DOWIK</v>
      </c>
      <c r="E118" s="21" t="str">
        <f>NamaPelanggan!E117</f>
        <v>JAMBU</v>
      </c>
      <c r="F118" s="23">
        <f>NamaPelanggan!H117</f>
        <v>100000</v>
      </c>
      <c r="G118" s="24"/>
      <c r="H118" s="24"/>
      <c r="I118" s="24">
        <v>100000</v>
      </c>
      <c r="J118" s="24"/>
      <c r="K118" s="24"/>
      <c r="L118" s="19" t="str">
        <f t="shared" si="3"/>
        <v>LUNAS</v>
      </c>
      <c r="M118" s="24"/>
      <c r="N118" s="22"/>
      <c r="O118" s="6"/>
      <c r="P118" s="6"/>
      <c r="Q118" s="6"/>
    </row>
    <row r="119" spans="1:17" ht="12.75" customHeight="1" x14ac:dyDescent="0.3">
      <c r="A119" s="6"/>
      <c r="B119" s="19">
        <v>116</v>
      </c>
      <c r="C119" s="20" t="str">
        <f>NamaPelanggan!C118</f>
        <v>JAM-116</v>
      </c>
      <c r="D119" s="21" t="str">
        <f>NamaPelanggan!D118</f>
        <v>ERPAN</v>
      </c>
      <c r="E119" s="21" t="str">
        <f>NamaPelanggan!E118</f>
        <v>JAMBU</v>
      </c>
      <c r="F119" s="23">
        <f>NamaPelanggan!H118</f>
        <v>100000</v>
      </c>
      <c r="G119" s="24"/>
      <c r="H119" s="24"/>
      <c r="I119" s="24"/>
      <c r="J119" s="24"/>
      <c r="K119" s="24"/>
      <c r="L119" s="19" t="str">
        <f t="shared" si="3"/>
        <v>BELUM LUNAS</v>
      </c>
      <c r="M119" s="24">
        <v>100000</v>
      </c>
      <c r="N119" s="22" t="s">
        <v>574</v>
      </c>
      <c r="O119" s="6"/>
      <c r="P119" s="6"/>
      <c r="Q119" s="6"/>
    </row>
    <row r="120" spans="1:17" ht="12.75" customHeight="1" x14ac:dyDescent="0.3">
      <c r="A120" s="6"/>
      <c r="B120" s="19">
        <v>117</v>
      </c>
      <c r="C120" s="20" t="str">
        <f>NamaPelanggan!C119</f>
        <v>JAM-117</v>
      </c>
      <c r="D120" s="21" t="str">
        <f>NamaPelanggan!D119</f>
        <v>riski bengkel</v>
      </c>
      <c r="E120" s="21" t="str">
        <f>NamaPelanggan!E119</f>
        <v>JAMBU</v>
      </c>
      <c r="F120" s="23">
        <f>NamaPelanggan!H119</f>
        <v>100000</v>
      </c>
      <c r="G120" s="24"/>
      <c r="H120" s="24"/>
      <c r="I120" s="24">
        <v>100000</v>
      </c>
      <c r="J120" s="24"/>
      <c r="K120" s="24"/>
      <c r="L120" s="19" t="str">
        <f t="shared" si="3"/>
        <v>LUNAS</v>
      </c>
      <c r="M120" s="24"/>
      <c r="N120" s="22"/>
      <c r="O120" s="6"/>
      <c r="P120" s="6"/>
      <c r="Q120" s="6"/>
    </row>
    <row r="121" spans="1:17" ht="12.75" customHeight="1" x14ac:dyDescent="0.3">
      <c r="A121" s="6"/>
      <c r="B121" s="19">
        <v>118</v>
      </c>
      <c r="C121" s="20" t="str">
        <f>NamaPelanggan!C120</f>
        <v>JAM-118</v>
      </c>
      <c r="D121" s="21" t="str">
        <f>NamaPelanggan!D120</f>
        <v>FATIMAH</v>
      </c>
      <c r="E121" s="21" t="str">
        <f>NamaPelanggan!E120</f>
        <v>JAMBU</v>
      </c>
      <c r="F121" s="23">
        <f>NamaPelanggan!H120</f>
        <v>100000</v>
      </c>
      <c r="G121" s="24"/>
      <c r="H121" s="24"/>
      <c r="I121" s="24">
        <v>100000</v>
      </c>
      <c r="J121" s="24"/>
      <c r="K121" s="24"/>
      <c r="L121" s="19" t="str">
        <f t="shared" si="3"/>
        <v>LUNAS</v>
      </c>
      <c r="M121" s="24"/>
      <c r="N121" s="22"/>
      <c r="O121" s="6"/>
      <c r="P121" s="6"/>
      <c r="Q121" s="6"/>
    </row>
    <row r="122" spans="1:17" ht="12.75" customHeight="1" x14ac:dyDescent="0.3">
      <c r="A122" s="6"/>
      <c r="B122" s="19">
        <v>119</v>
      </c>
      <c r="C122" s="20" t="str">
        <f>NamaPelanggan!C121</f>
        <v>JAM-119</v>
      </c>
      <c r="D122" s="21" t="str">
        <f>NamaPelanggan!D121</f>
        <v>HENDI / febby</v>
      </c>
      <c r="E122" s="21" t="str">
        <f>NamaPelanggan!E121</f>
        <v>JAMBU</v>
      </c>
      <c r="F122" s="23">
        <f>NamaPelanggan!H121</f>
        <v>100000</v>
      </c>
      <c r="G122" s="24"/>
      <c r="H122" s="24"/>
      <c r="I122" s="24">
        <v>100000</v>
      </c>
      <c r="J122" s="24"/>
      <c r="K122" s="24"/>
      <c r="L122" s="19" t="str">
        <f t="shared" si="3"/>
        <v>LUNAS</v>
      </c>
      <c r="M122" s="24"/>
      <c r="N122" s="22"/>
      <c r="O122" s="6"/>
      <c r="P122" s="6"/>
      <c r="Q122" s="6"/>
    </row>
    <row r="123" spans="1:17" ht="12.75" customHeight="1" x14ac:dyDescent="0.3">
      <c r="A123" s="6"/>
      <c r="B123" s="19">
        <v>120</v>
      </c>
      <c r="C123" s="20" t="str">
        <f>NamaPelanggan!C122</f>
        <v>JAM-120</v>
      </c>
      <c r="D123" s="21" t="str">
        <f>NamaPelanggan!D122</f>
        <v>HERNO@ILHAM</v>
      </c>
      <c r="E123" s="21" t="str">
        <f>NamaPelanggan!E122</f>
        <v>JAMBU</v>
      </c>
      <c r="F123" s="23">
        <f>NamaPelanggan!H122</f>
        <v>100000</v>
      </c>
      <c r="G123" s="24"/>
      <c r="H123" s="24"/>
      <c r="I123" s="24">
        <v>100000</v>
      </c>
      <c r="J123" s="24"/>
      <c r="K123" s="24"/>
      <c r="L123" s="19" t="str">
        <f t="shared" si="3"/>
        <v>LUNAS</v>
      </c>
      <c r="M123" s="24"/>
      <c r="N123" s="22"/>
      <c r="O123" s="6"/>
      <c r="P123" s="6"/>
      <c r="Q123" s="6"/>
    </row>
    <row r="124" spans="1:17" ht="12.75" customHeight="1" x14ac:dyDescent="0.3">
      <c r="A124" s="6"/>
      <c r="B124" s="19">
        <v>121</v>
      </c>
      <c r="C124" s="20" t="str">
        <f>NamaPelanggan!C123</f>
        <v>JAM-121</v>
      </c>
      <c r="D124" s="21" t="str">
        <f>NamaPelanggan!D123</f>
        <v>HOLILI@DESO</v>
      </c>
      <c r="E124" s="21" t="str">
        <f>NamaPelanggan!E123</f>
        <v>JAMBU</v>
      </c>
      <c r="F124" s="23">
        <f>NamaPelanggan!H123</f>
        <v>100000</v>
      </c>
      <c r="G124" s="24"/>
      <c r="H124" s="24"/>
      <c r="I124" s="24">
        <v>100000</v>
      </c>
      <c r="J124" s="24"/>
      <c r="K124" s="24"/>
      <c r="L124" s="19" t="str">
        <f t="shared" si="3"/>
        <v>LUNAS</v>
      </c>
      <c r="M124" s="24"/>
      <c r="N124" s="22"/>
      <c r="O124" s="6"/>
      <c r="P124" s="6"/>
      <c r="Q124" s="6"/>
    </row>
    <row r="125" spans="1:17" ht="12.75" customHeight="1" x14ac:dyDescent="0.3">
      <c r="A125" s="6"/>
      <c r="B125" s="19">
        <v>122</v>
      </c>
      <c r="C125" s="20" t="str">
        <f>NamaPelanggan!C124</f>
        <v>JAM-122</v>
      </c>
      <c r="D125" s="21" t="str">
        <f>NamaPelanggan!D124</f>
        <v>JONO@EVA</v>
      </c>
      <c r="E125" s="21" t="str">
        <f>NamaPelanggan!E124</f>
        <v>JAMBU</v>
      </c>
      <c r="F125" s="23">
        <f>NamaPelanggan!H124</f>
        <v>100000</v>
      </c>
      <c r="G125" s="24"/>
      <c r="H125" s="24"/>
      <c r="I125" s="24"/>
      <c r="J125" s="24"/>
      <c r="K125" s="24"/>
      <c r="L125" s="19" t="str">
        <f t="shared" si="3"/>
        <v>BELUM LUNAS</v>
      </c>
      <c r="M125" s="24">
        <v>100000</v>
      </c>
      <c r="N125" s="22" t="s">
        <v>574</v>
      </c>
      <c r="O125" s="6"/>
      <c r="P125" s="6"/>
      <c r="Q125" s="6"/>
    </row>
    <row r="126" spans="1:17" ht="12.75" customHeight="1" x14ac:dyDescent="0.3">
      <c r="A126" s="6"/>
      <c r="B126" s="19">
        <v>123</v>
      </c>
      <c r="C126" s="20" t="str">
        <f>NamaPelanggan!C125</f>
        <v>JAM-123</v>
      </c>
      <c r="D126" s="21" t="str">
        <f>NamaPelanggan!D125</f>
        <v>KADEK/kom</v>
      </c>
      <c r="E126" s="21" t="str">
        <f>NamaPelanggan!E125</f>
        <v>JAMBU</v>
      </c>
      <c r="F126" s="23">
        <f>NamaPelanggan!H125</f>
        <v>100000</v>
      </c>
      <c r="G126" s="24"/>
      <c r="H126" s="24"/>
      <c r="I126" s="24">
        <v>100000</v>
      </c>
      <c r="J126" s="24"/>
      <c r="K126" s="24"/>
      <c r="L126" s="19" t="str">
        <f t="shared" si="3"/>
        <v>LUNAS</v>
      </c>
      <c r="M126" s="24"/>
      <c r="N126" s="22"/>
      <c r="O126" s="6"/>
      <c r="P126" s="6"/>
      <c r="Q126" s="6"/>
    </row>
    <row r="127" spans="1:17" ht="12.75" customHeight="1" x14ac:dyDescent="0.3">
      <c r="A127" s="6"/>
      <c r="B127" s="19">
        <v>124</v>
      </c>
      <c r="C127" s="20" t="str">
        <f>NamaPelanggan!C126</f>
        <v>JAM-124</v>
      </c>
      <c r="D127" s="21" t="str">
        <f>NamaPelanggan!D126</f>
        <v>LIN@HADI</v>
      </c>
      <c r="E127" s="21" t="str">
        <f>NamaPelanggan!E126</f>
        <v>JAMBU</v>
      </c>
      <c r="F127" s="23">
        <f>NamaPelanggan!H126</f>
        <v>100000</v>
      </c>
      <c r="G127" s="24"/>
      <c r="H127" s="24"/>
      <c r="I127" s="24">
        <v>100000</v>
      </c>
      <c r="J127" s="24"/>
      <c r="K127" s="24"/>
      <c r="L127" s="19" t="str">
        <f t="shared" ref="L127:L157" si="4">IF(SUM(G127:K127)&gt;0,"LUNAS","BELUM LUNAS")</f>
        <v>LUNAS</v>
      </c>
      <c r="M127" s="24"/>
      <c r="N127" s="22"/>
      <c r="O127" s="6"/>
      <c r="P127" s="6"/>
      <c r="Q127" s="6"/>
    </row>
    <row r="128" spans="1:17" ht="12.75" customHeight="1" x14ac:dyDescent="0.3">
      <c r="A128" s="6"/>
      <c r="B128" s="19">
        <v>125</v>
      </c>
      <c r="C128" s="20" t="str">
        <f>NamaPelanggan!C127</f>
        <v>JAM-125</v>
      </c>
      <c r="D128" s="21" t="str">
        <f>NamaPelanggan!D127</f>
        <v>LINDA@AGUNG</v>
      </c>
      <c r="E128" s="21" t="str">
        <f>NamaPelanggan!E127</f>
        <v>JAMBU</v>
      </c>
      <c r="F128" s="23">
        <f>NamaPelanggan!H127</f>
        <v>100000</v>
      </c>
      <c r="G128" s="24"/>
      <c r="H128" s="24"/>
      <c r="I128" s="24">
        <v>100000</v>
      </c>
      <c r="J128" s="24"/>
      <c r="K128" s="24"/>
      <c r="L128" s="19" t="str">
        <f t="shared" si="4"/>
        <v>LUNAS</v>
      </c>
      <c r="M128" s="24"/>
      <c r="N128" s="22"/>
      <c r="O128" s="6"/>
      <c r="P128" s="6"/>
      <c r="Q128" s="6"/>
    </row>
    <row r="129" spans="1:21" ht="12.75" customHeight="1" x14ac:dyDescent="0.3">
      <c r="A129" s="6"/>
      <c r="B129" s="19">
        <v>126</v>
      </c>
      <c r="C129" s="20" t="str">
        <f>NamaPelanggan!C128</f>
        <v>JAM-126</v>
      </c>
      <c r="D129" s="21" t="str">
        <f>NamaPelanggan!D128</f>
        <v>MATSAINI@ENDANG</v>
      </c>
      <c r="E129" s="21" t="str">
        <f>NamaPelanggan!E128</f>
        <v>JAMBU</v>
      </c>
      <c r="F129" s="23">
        <f>NamaPelanggan!H128</f>
        <v>100000</v>
      </c>
      <c r="G129" s="24"/>
      <c r="H129" s="24"/>
      <c r="I129" s="24">
        <v>100000</v>
      </c>
      <c r="J129" s="24"/>
      <c r="K129" s="24"/>
      <c r="L129" s="19" t="str">
        <f t="shared" si="4"/>
        <v>LUNAS</v>
      </c>
      <c r="M129" s="24"/>
      <c r="N129" s="22"/>
      <c r="O129" s="6"/>
      <c r="P129" s="6"/>
      <c r="Q129" s="6"/>
    </row>
    <row r="130" spans="1:21" ht="12.75" customHeight="1" x14ac:dyDescent="0.3">
      <c r="A130" s="6"/>
      <c r="B130" s="19">
        <v>127</v>
      </c>
      <c r="C130" s="20" t="str">
        <f>NamaPelanggan!C129</f>
        <v>JAM-127</v>
      </c>
      <c r="D130" s="21" t="str">
        <f>NamaPelanggan!D129</f>
        <v>NANO</v>
      </c>
      <c r="E130" s="21" t="str">
        <f>NamaPelanggan!E129</f>
        <v>JAMBU</v>
      </c>
      <c r="F130" s="23">
        <f>NamaPelanggan!H129</f>
        <v>100000</v>
      </c>
      <c r="G130" s="24"/>
      <c r="H130" s="24"/>
      <c r="I130" s="24">
        <v>200000</v>
      </c>
      <c r="J130" s="24"/>
      <c r="K130" s="24"/>
      <c r="L130" s="19" t="str">
        <f t="shared" si="4"/>
        <v>LUNAS</v>
      </c>
      <c r="M130" s="24"/>
      <c r="N130" s="22"/>
      <c r="O130" s="6"/>
      <c r="P130" s="6"/>
      <c r="Q130" s="6"/>
    </row>
    <row r="131" spans="1:21" ht="12.75" customHeight="1" x14ac:dyDescent="0.3">
      <c r="A131" s="6"/>
      <c r="B131" s="19">
        <v>128</v>
      </c>
      <c r="C131" s="20" t="str">
        <f>NamaPelanggan!C130</f>
        <v>JAM-128</v>
      </c>
      <c r="D131" s="21" t="str">
        <f>NamaPelanggan!D130</f>
        <v>NUR@BENGKEL</v>
      </c>
      <c r="E131" s="21" t="str">
        <f>NamaPelanggan!E130</f>
        <v>JAMBU</v>
      </c>
      <c r="F131" s="23">
        <f>NamaPelanggan!H130</f>
        <v>100000</v>
      </c>
      <c r="G131" s="24"/>
      <c r="H131" s="24"/>
      <c r="I131" s="24">
        <v>100000</v>
      </c>
      <c r="J131" s="24"/>
      <c r="K131" s="24"/>
      <c r="L131" s="19" t="str">
        <f t="shared" si="4"/>
        <v>LUNAS</v>
      </c>
      <c r="M131" s="24"/>
      <c r="N131" s="22"/>
      <c r="O131" s="6"/>
      <c r="P131" s="6"/>
      <c r="Q131" s="6"/>
    </row>
    <row r="132" spans="1:21" ht="12.75" customHeight="1" x14ac:dyDescent="0.3">
      <c r="A132" s="6"/>
      <c r="B132" s="19">
        <v>129</v>
      </c>
      <c r="C132" s="20" t="str">
        <f>NamaPelanggan!C131</f>
        <v>JAM-129</v>
      </c>
      <c r="D132" s="21" t="str">
        <f>NamaPelanggan!D131</f>
        <v>NURIK@ROHMA</v>
      </c>
      <c r="E132" s="21" t="str">
        <f>NamaPelanggan!E131</f>
        <v>JAMBU</v>
      </c>
      <c r="F132" s="23">
        <f>NamaPelanggan!H131</f>
        <v>100000</v>
      </c>
      <c r="G132" s="24"/>
      <c r="H132" s="24"/>
      <c r="I132" s="24">
        <v>100000</v>
      </c>
      <c r="J132" s="24"/>
      <c r="K132" s="24"/>
      <c r="L132" s="19" t="str">
        <f t="shared" si="4"/>
        <v>LUNAS</v>
      </c>
      <c r="M132" s="24"/>
      <c r="N132" s="22"/>
      <c r="O132" s="6"/>
      <c r="P132" s="6"/>
      <c r="Q132" s="6"/>
    </row>
    <row r="133" spans="1:21" ht="12.75" customHeight="1" x14ac:dyDescent="0.3">
      <c r="A133" s="6"/>
      <c r="B133" s="19">
        <v>130</v>
      </c>
      <c r="C133" s="20" t="str">
        <f>NamaPelanggan!C132</f>
        <v>JAM-130</v>
      </c>
      <c r="D133" s="21" t="str">
        <f>NamaPelanggan!D132</f>
        <v>P.BUANG@ARIP</v>
      </c>
      <c r="E133" s="21" t="str">
        <f>NamaPelanggan!E132</f>
        <v>JAMBU</v>
      </c>
      <c r="F133" s="23">
        <f>NamaPelanggan!H132</f>
        <v>100000</v>
      </c>
      <c r="G133" s="24"/>
      <c r="H133" s="24"/>
      <c r="I133" s="24">
        <v>100000</v>
      </c>
      <c r="J133" s="24"/>
      <c r="K133" s="24"/>
      <c r="L133" s="19" t="str">
        <f t="shared" si="4"/>
        <v>LUNAS</v>
      </c>
      <c r="M133" s="24"/>
      <c r="N133" s="22"/>
      <c r="O133" s="6"/>
      <c r="P133" s="6"/>
      <c r="Q133" s="6"/>
    </row>
    <row r="134" spans="1:21" ht="12.75" customHeight="1" x14ac:dyDescent="0.3">
      <c r="A134" s="6"/>
      <c r="B134" s="19">
        <v>131</v>
      </c>
      <c r="C134" s="20" t="str">
        <f>NamaPelanggan!C133</f>
        <v>JAM-131</v>
      </c>
      <c r="D134" s="21" t="str">
        <f>NamaPelanggan!D133</f>
        <v>PENDI</v>
      </c>
      <c r="E134" s="21" t="str">
        <f>NamaPelanggan!E133</f>
        <v>JAMBU</v>
      </c>
      <c r="F134" s="23">
        <f>NamaPelanggan!H133</f>
        <v>100000</v>
      </c>
      <c r="G134" s="24"/>
      <c r="H134" s="24"/>
      <c r="I134" s="24">
        <v>100000</v>
      </c>
      <c r="J134" s="24"/>
      <c r="K134" s="24"/>
      <c r="L134" s="19" t="str">
        <f t="shared" si="4"/>
        <v>LUNAS</v>
      </c>
      <c r="M134" s="24"/>
      <c r="N134" s="22"/>
      <c r="O134" s="6"/>
      <c r="P134" s="6"/>
      <c r="Q134" s="6"/>
    </row>
    <row r="135" spans="1:21" ht="12.75" customHeight="1" x14ac:dyDescent="0.3">
      <c r="A135" s="6"/>
      <c r="B135" s="19">
        <v>132</v>
      </c>
      <c r="C135" s="20" t="str">
        <f>NamaPelanggan!C134</f>
        <v>JAM-132</v>
      </c>
      <c r="D135" s="21" t="str">
        <f>NamaPelanggan!D134</f>
        <v>PUTRIUNTUNG</v>
      </c>
      <c r="E135" s="21" t="str">
        <f>NamaPelanggan!E134</f>
        <v>JAMBU</v>
      </c>
      <c r="F135" s="23">
        <f>NamaPelanggan!H134</f>
        <v>100000</v>
      </c>
      <c r="G135" s="24"/>
      <c r="H135" s="24"/>
      <c r="I135" s="24"/>
      <c r="J135" s="24"/>
      <c r="K135" s="24"/>
      <c r="L135" s="19" t="str">
        <f t="shared" si="4"/>
        <v>BELUM LUNAS</v>
      </c>
      <c r="M135" s="24">
        <v>100000</v>
      </c>
      <c r="N135" s="22" t="s">
        <v>574</v>
      </c>
      <c r="O135" s="6"/>
      <c r="P135" s="6"/>
      <c r="Q135" s="6"/>
    </row>
    <row r="136" spans="1:21" ht="12.75" customHeight="1" x14ac:dyDescent="0.3">
      <c r="A136" s="14"/>
      <c r="B136" s="19">
        <v>133</v>
      </c>
      <c r="C136" s="20" t="str">
        <f>NamaPelanggan!C135</f>
        <v>JAM-133</v>
      </c>
      <c r="D136" s="21" t="str">
        <f>NamaPelanggan!D135</f>
        <v>RAHOLIL romik</v>
      </c>
      <c r="E136" s="21" t="str">
        <f>NamaPelanggan!E135</f>
        <v>JAMBU</v>
      </c>
      <c r="F136" s="23">
        <f>NamaPelanggan!H135</f>
        <v>100000</v>
      </c>
      <c r="G136" s="23"/>
      <c r="H136" s="23"/>
      <c r="I136" s="23">
        <v>100000</v>
      </c>
      <c r="J136" s="23"/>
      <c r="K136" s="23"/>
      <c r="L136" s="19" t="str">
        <f t="shared" si="4"/>
        <v>LUNAS</v>
      </c>
      <c r="M136" s="23"/>
      <c r="N136" s="19"/>
      <c r="O136" s="14"/>
      <c r="P136" s="14"/>
      <c r="Q136" s="14"/>
      <c r="U136" s="55"/>
    </row>
    <row r="137" spans="1:21" ht="12.75" customHeight="1" x14ac:dyDescent="0.3">
      <c r="A137" s="6"/>
      <c r="B137" s="19">
        <v>134</v>
      </c>
      <c r="C137" s="20" t="str">
        <f>NamaPelanggan!C136</f>
        <v>JAM-134</v>
      </c>
      <c r="D137" s="21" t="str">
        <f>NamaPelanggan!D136</f>
        <v>RIRIN</v>
      </c>
      <c r="E137" s="21" t="str">
        <f>NamaPelanggan!E136</f>
        <v>JAMBU</v>
      </c>
      <c r="F137" s="23">
        <f>NamaPelanggan!H136</f>
        <v>100000</v>
      </c>
      <c r="G137" s="24"/>
      <c r="H137" s="24"/>
      <c r="I137" s="24"/>
      <c r="J137" s="24"/>
      <c r="K137" s="24"/>
      <c r="L137" s="19" t="str">
        <f t="shared" si="4"/>
        <v>BELUM LUNAS</v>
      </c>
      <c r="M137" s="24">
        <v>100000</v>
      </c>
      <c r="N137" s="22" t="s">
        <v>574</v>
      </c>
      <c r="O137" s="6"/>
      <c r="P137" s="6"/>
      <c r="Q137" s="6"/>
    </row>
    <row r="138" spans="1:21" ht="12.75" customHeight="1" x14ac:dyDescent="0.3">
      <c r="A138" s="6"/>
      <c r="B138" s="19">
        <v>135</v>
      </c>
      <c r="C138" s="20" t="str">
        <f>NamaPelanggan!C137</f>
        <v>JAM-135</v>
      </c>
      <c r="D138" s="21" t="str">
        <f>NamaPelanggan!D137</f>
        <v>SERATEM / chandra</v>
      </c>
      <c r="E138" s="21" t="str">
        <f>NamaPelanggan!E137</f>
        <v>JAMBU</v>
      </c>
      <c r="F138" s="23">
        <f>NamaPelanggan!H137</f>
        <v>100000</v>
      </c>
      <c r="G138" s="24"/>
      <c r="H138" s="24"/>
      <c r="I138" s="24"/>
      <c r="J138" s="24"/>
      <c r="K138" s="24"/>
      <c r="L138" s="19" t="str">
        <f t="shared" si="4"/>
        <v>BELUM LUNAS</v>
      </c>
      <c r="M138" s="24">
        <v>100000</v>
      </c>
      <c r="N138" s="22" t="s">
        <v>574</v>
      </c>
      <c r="O138" s="6"/>
      <c r="P138" s="6"/>
      <c r="Q138" s="6"/>
    </row>
    <row r="139" spans="1:21" ht="12.75" customHeight="1" x14ac:dyDescent="0.3">
      <c r="A139" s="6"/>
      <c r="B139" s="19">
        <v>136</v>
      </c>
      <c r="C139" s="20" t="str">
        <f>NamaPelanggan!C138</f>
        <v>JAM-136</v>
      </c>
      <c r="D139" s="21" t="str">
        <f>NamaPelanggan!D138</f>
        <v>SLAMETIPIN</v>
      </c>
      <c r="E139" s="21" t="str">
        <f>NamaPelanggan!E138</f>
        <v>JAMBU</v>
      </c>
      <c r="F139" s="23">
        <f>NamaPelanggan!H138</f>
        <v>100000</v>
      </c>
      <c r="G139" s="24"/>
      <c r="H139" s="24"/>
      <c r="I139" s="24">
        <v>100000</v>
      </c>
      <c r="J139" s="24"/>
      <c r="K139" s="24"/>
      <c r="L139" s="19" t="str">
        <f t="shared" si="4"/>
        <v>LUNAS</v>
      </c>
      <c r="M139" s="24"/>
      <c r="N139" s="22"/>
      <c r="O139" s="6"/>
      <c r="P139" s="6"/>
      <c r="Q139" s="6"/>
    </row>
    <row r="140" spans="1:21" ht="12.75" customHeight="1" x14ac:dyDescent="0.3">
      <c r="A140" s="6"/>
      <c r="B140" s="19">
        <v>137</v>
      </c>
      <c r="C140" s="20" t="str">
        <f>NamaPelanggan!C139</f>
        <v>JAM-137</v>
      </c>
      <c r="D140" s="21" t="str">
        <f>NamaPelanggan!D139</f>
        <v>SUNAR@RATNA</v>
      </c>
      <c r="E140" s="21" t="str">
        <f>NamaPelanggan!E139</f>
        <v>JAMBU</v>
      </c>
      <c r="F140" s="23">
        <f>NamaPelanggan!H139</f>
        <v>100000</v>
      </c>
      <c r="G140" s="24"/>
      <c r="H140" s="24"/>
      <c r="I140" s="24">
        <v>100000</v>
      </c>
      <c r="J140" s="24"/>
      <c r="K140" s="24"/>
      <c r="L140" s="19" t="str">
        <f t="shared" si="4"/>
        <v>LUNAS</v>
      </c>
      <c r="M140" s="24"/>
      <c r="N140" s="22"/>
      <c r="O140" s="6"/>
      <c r="P140" s="6"/>
      <c r="Q140" s="6"/>
    </row>
    <row r="141" spans="1:21" ht="12.75" customHeight="1" x14ac:dyDescent="0.3">
      <c r="A141" s="6"/>
      <c r="B141" s="19">
        <v>138</v>
      </c>
      <c r="C141" s="20" t="str">
        <f>NamaPelanggan!C140</f>
        <v>JAM-138</v>
      </c>
      <c r="D141" s="21" t="str">
        <f>NamaPelanggan!D140</f>
        <v>TINO@TITIN</v>
      </c>
      <c r="E141" s="21" t="str">
        <f>NamaPelanggan!E140</f>
        <v>JAMBU</v>
      </c>
      <c r="F141" s="23">
        <f>NamaPelanggan!H140</f>
        <v>100000</v>
      </c>
      <c r="G141" s="24"/>
      <c r="H141" s="24"/>
      <c r="I141" s="24">
        <v>100000</v>
      </c>
      <c r="J141" s="24"/>
      <c r="K141" s="24"/>
      <c r="L141" s="19" t="str">
        <f t="shared" si="4"/>
        <v>LUNAS</v>
      </c>
      <c r="M141" s="24"/>
      <c r="N141" s="22"/>
      <c r="O141" s="6"/>
      <c r="P141" s="6"/>
      <c r="Q141" s="6"/>
    </row>
    <row r="142" spans="1:21" ht="12.75" customHeight="1" x14ac:dyDescent="0.3">
      <c r="A142" s="6"/>
      <c r="B142" s="19">
        <v>139</v>
      </c>
      <c r="C142" s="20" t="str">
        <f>NamaPelanggan!C141</f>
        <v>JAM-139</v>
      </c>
      <c r="D142" s="21" t="str">
        <f>NamaPelanggan!D141</f>
        <v>TORIK / rita</v>
      </c>
      <c r="E142" s="21" t="str">
        <f>NamaPelanggan!E141</f>
        <v>JAMBU</v>
      </c>
      <c r="F142" s="23">
        <f>NamaPelanggan!H141</f>
        <v>100000</v>
      </c>
      <c r="G142" s="24"/>
      <c r="H142" s="24"/>
      <c r="I142" s="24">
        <v>100000</v>
      </c>
      <c r="J142" s="24"/>
      <c r="K142" s="24"/>
      <c r="L142" s="19" t="str">
        <f t="shared" si="4"/>
        <v>LUNAS</v>
      </c>
      <c r="M142" s="24"/>
      <c r="N142" s="22"/>
      <c r="O142" s="6"/>
      <c r="P142" s="6"/>
      <c r="Q142" s="6"/>
    </row>
    <row r="143" spans="1:21" ht="12.75" customHeight="1" x14ac:dyDescent="0.3">
      <c r="A143" s="6"/>
      <c r="B143" s="19">
        <v>140</v>
      </c>
      <c r="C143" s="20" t="str">
        <f>NamaPelanggan!C142</f>
        <v>JAM-140</v>
      </c>
      <c r="D143" s="21" t="str">
        <f>NamaPelanggan!D142</f>
        <v>TYAS</v>
      </c>
      <c r="E143" s="21" t="str">
        <f>NamaPelanggan!E142</f>
        <v>JAMBU</v>
      </c>
      <c r="F143" s="23">
        <f>NamaPelanggan!H142</f>
        <v>100000</v>
      </c>
      <c r="G143" s="24"/>
      <c r="H143" s="24"/>
      <c r="I143" s="24">
        <v>100000</v>
      </c>
      <c r="J143" s="24"/>
      <c r="K143" s="24"/>
      <c r="L143" s="19" t="str">
        <f t="shared" si="4"/>
        <v>LUNAS</v>
      </c>
      <c r="M143" s="24"/>
      <c r="N143" s="22"/>
      <c r="O143" s="6"/>
      <c r="P143" s="6"/>
      <c r="Q143" s="6"/>
    </row>
    <row r="144" spans="1:21" ht="12.75" customHeight="1" x14ac:dyDescent="0.3">
      <c r="A144" s="6"/>
      <c r="B144" s="19">
        <v>141</v>
      </c>
      <c r="C144" s="20" t="str">
        <f>NamaPelanggan!C143</f>
        <v>JAM-141</v>
      </c>
      <c r="D144" s="21" t="str">
        <f>NamaPelanggan!D143</f>
        <v>WAHYU@RADIT</v>
      </c>
      <c r="E144" s="21" t="str">
        <f>NamaPelanggan!E143</f>
        <v>JAMBU</v>
      </c>
      <c r="F144" s="23">
        <f>NamaPelanggan!H143</f>
        <v>100000</v>
      </c>
      <c r="G144" s="24"/>
      <c r="H144" s="24"/>
      <c r="I144" s="24">
        <v>100000</v>
      </c>
      <c r="J144" s="24"/>
      <c r="K144" s="24"/>
      <c r="L144" s="19" t="str">
        <f t="shared" si="4"/>
        <v>LUNAS</v>
      </c>
      <c r="M144" s="24"/>
      <c r="N144" s="22"/>
      <c r="O144" s="6"/>
      <c r="P144" s="6"/>
      <c r="Q144" s="6"/>
    </row>
    <row r="145" spans="1:17" ht="12.75" customHeight="1" x14ac:dyDescent="0.3">
      <c r="A145" s="6"/>
      <c r="B145" s="19">
        <v>142</v>
      </c>
      <c r="C145" s="20" t="str">
        <f>NamaPelanggan!C144</f>
        <v>JAM-142</v>
      </c>
      <c r="D145" s="21" t="str">
        <f>NamaPelanggan!D144</f>
        <v>YANTO@SINTIYA / nova</v>
      </c>
      <c r="E145" s="21" t="str">
        <f>NamaPelanggan!E144</f>
        <v>JAMBU</v>
      </c>
      <c r="F145" s="23">
        <f>NamaPelanggan!H144</f>
        <v>100000</v>
      </c>
      <c r="G145" s="24"/>
      <c r="H145" s="24"/>
      <c r="I145" s="24">
        <v>100000</v>
      </c>
      <c r="J145" s="24"/>
      <c r="K145" s="24"/>
      <c r="L145" s="19" t="str">
        <f t="shared" si="4"/>
        <v>LUNAS</v>
      </c>
      <c r="M145" s="24"/>
      <c r="N145" s="22"/>
      <c r="O145" s="6"/>
      <c r="P145" s="6"/>
      <c r="Q145" s="6"/>
    </row>
    <row r="146" spans="1:17" ht="12.75" customHeight="1" x14ac:dyDescent="0.3">
      <c r="A146" s="6"/>
      <c r="B146" s="19">
        <v>143</v>
      </c>
      <c r="C146" s="20" t="str">
        <f>NamaPelanggan!C145</f>
        <v>JAM-143</v>
      </c>
      <c r="D146" s="21" t="str">
        <f>NamaPelanggan!D145</f>
        <v>YAYUK@ELSA</v>
      </c>
      <c r="E146" s="21" t="str">
        <f>NamaPelanggan!E145</f>
        <v>JAMBU</v>
      </c>
      <c r="F146" s="23">
        <f>NamaPelanggan!H145</f>
        <v>100000</v>
      </c>
      <c r="G146" s="24"/>
      <c r="H146" s="24"/>
      <c r="I146" s="24">
        <v>100000</v>
      </c>
      <c r="J146" s="24"/>
      <c r="K146" s="24"/>
      <c r="L146" s="19" t="str">
        <f t="shared" si="4"/>
        <v>LUNAS</v>
      </c>
      <c r="M146" s="24"/>
      <c r="N146" s="22"/>
      <c r="O146" s="6"/>
      <c r="P146" s="6"/>
      <c r="Q146" s="6"/>
    </row>
    <row r="147" spans="1:17" ht="12.75" customHeight="1" x14ac:dyDescent="0.3">
      <c r="A147" s="6"/>
      <c r="B147" s="19">
        <v>144</v>
      </c>
      <c r="C147" s="20" t="str">
        <f>NamaPelanggan!C146</f>
        <v>JAM-144</v>
      </c>
      <c r="D147" s="21" t="str">
        <f>NamaPelanggan!D146</f>
        <v>YUNI@OPIK</v>
      </c>
      <c r="E147" s="21" t="str">
        <f>NamaPelanggan!E146</f>
        <v>JAMBU</v>
      </c>
      <c r="F147" s="23">
        <f>NamaPelanggan!H146</f>
        <v>100000</v>
      </c>
      <c r="G147" s="24"/>
      <c r="H147" s="24"/>
      <c r="I147" s="24">
        <v>100000</v>
      </c>
      <c r="J147" s="24"/>
      <c r="K147" s="24"/>
      <c r="L147" s="19" t="str">
        <f t="shared" si="4"/>
        <v>LUNAS</v>
      </c>
      <c r="M147" s="24"/>
      <c r="N147" s="22"/>
      <c r="O147" s="6"/>
      <c r="P147" s="6"/>
      <c r="Q147" s="6"/>
    </row>
    <row r="148" spans="1:17" ht="12.75" customHeight="1" x14ac:dyDescent="0.3">
      <c r="A148" s="6"/>
      <c r="B148" s="19">
        <v>145</v>
      </c>
      <c r="C148" s="20" t="str">
        <f>NamaPelanggan!C147</f>
        <v>JAM-145</v>
      </c>
      <c r="D148" s="21" t="str">
        <f>NamaPelanggan!D147</f>
        <v>YURIS@ALVIN</v>
      </c>
      <c r="E148" s="21" t="str">
        <f>NamaPelanggan!E147</f>
        <v>JAMBU</v>
      </c>
      <c r="F148" s="23">
        <f>NamaPelanggan!H147</f>
        <v>100000</v>
      </c>
      <c r="G148" s="24"/>
      <c r="H148" s="24"/>
      <c r="I148" s="24"/>
      <c r="J148" s="24"/>
      <c r="K148" s="24"/>
      <c r="L148" s="19" t="str">
        <f t="shared" si="4"/>
        <v>BELUM LUNAS</v>
      </c>
      <c r="M148" s="24">
        <v>100000</v>
      </c>
      <c r="N148" s="22" t="s">
        <v>450</v>
      </c>
      <c r="O148" s="6"/>
      <c r="P148" s="6"/>
      <c r="Q148" s="6"/>
    </row>
    <row r="149" spans="1:17" ht="12.75" customHeight="1" x14ac:dyDescent="0.3">
      <c r="A149" s="6"/>
      <c r="B149" s="19">
        <v>146</v>
      </c>
      <c r="C149" s="20" t="str">
        <f>NamaPelanggan!C148</f>
        <v>JAM-146</v>
      </c>
      <c r="D149" s="21" t="str">
        <f>NamaPelanggan!D148</f>
        <v>roh/ manrosul</v>
      </c>
      <c r="E149" s="21" t="str">
        <f>NamaPelanggan!E148</f>
        <v>JAMBU</v>
      </c>
      <c r="F149" s="23">
        <f>NamaPelanggan!H148</f>
        <v>100000</v>
      </c>
      <c r="G149" s="24"/>
      <c r="H149" s="24"/>
      <c r="I149" s="24">
        <v>100000</v>
      </c>
      <c r="J149" s="24"/>
      <c r="K149" s="24"/>
      <c r="L149" s="19" t="str">
        <f t="shared" si="4"/>
        <v>LUNAS</v>
      </c>
      <c r="M149" s="24"/>
      <c r="N149" s="22"/>
      <c r="O149" s="6"/>
      <c r="P149" s="6"/>
      <c r="Q149" s="6"/>
    </row>
    <row r="150" spans="1:17" ht="12.75" customHeight="1" x14ac:dyDescent="0.3">
      <c r="A150" s="6"/>
      <c r="B150" s="19">
        <v>147</v>
      </c>
      <c r="C150" s="20" t="str">
        <f>NamaPelanggan!C149</f>
        <v>JAM-147</v>
      </c>
      <c r="D150" s="21" t="str">
        <f>NamaPelanggan!D149</f>
        <v>DARTOK</v>
      </c>
      <c r="E150" s="21" t="str">
        <f>NamaPelanggan!E149</f>
        <v>JAMBU</v>
      </c>
      <c r="F150" s="23">
        <f>NamaPelanggan!H149</f>
        <v>100000</v>
      </c>
      <c r="G150" s="24"/>
      <c r="H150" s="24"/>
      <c r="I150" s="24"/>
      <c r="J150" s="24"/>
      <c r="K150" s="24"/>
      <c r="L150" s="19" t="s">
        <v>550</v>
      </c>
      <c r="M150" s="24"/>
      <c r="N150" s="22"/>
      <c r="O150" s="6"/>
      <c r="P150" s="6"/>
      <c r="Q150" s="6"/>
    </row>
    <row r="151" spans="1:17" ht="12.75" customHeight="1" x14ac:dyDescent="0.3">
      <c r="A151" s="6"/>
      <c r="B151" s="19">
        <v>148</v>
      </c>
      <c r="C151" s="20" t="str">
        <f>NamaPelanggan!C150</f>
        <v>JAM-148</v>
      </c>
      <c r="D151" s="21" t="str">
        <f>NamaPelanggan!D150</f>
        <v>YENI ( enal)</v>
      </c>
      <c r="E151" s="21" t="str">
        <f>NamaPelanggan!E150</f>
        <v>JAMBU</v>
      </c>
      <c r="F151" s="23">
        <f>NamaPelanggan!H150</f>
        <v>100000</v>
      </c>
      <c r="G151" s="24"/>
      <c r="H151" s="24"/>
      <c r="I151" s="24">
        <v>100000</v>
      </c>
      <c r="J151" s="24"/>
      <c r="K151" s="24"/>
      <c r="L151" s="19" t="str">
        <f t="shared" si="4"/>
        <v>LUNAS</v>
      </c>
      <c r="M151" s="24"/>
      <c r="N151" s="22"/>
      <c r="O151" s="6"/>
      <c r="P151" s="6"/>
      <c r="Q151" s="6"/>
    </row>
    <row r="152" spans="1:17" ht="12.75" customHeight="1" x14ac:dyDescent="0.3">
      <c r="A152" s="6"/>
      <c r="B152" s="19">
        <v>149</v>
      </c>
      <c r="C152" s="20" t="str">
        <f>NamaPelanggan!C151</f>
        <v>JAM-149</v>
      </c>
      <c r="D152" s="21" t="str">
        <f>NamaPelanggan!D151</f>
        <v>GIYANTO</v>
      </c>
      <c r="E152" s="21" t="str">
        <f>NamaPelanggan!E151</f>
        <v>JAMBU</v>
      </c>
      <c r="F152" s="23">
        <f>NamaPelanggan!H151</f>
        <v>100000</v>
      </c>
      <c r="G152" s="24"/>
      <c r="H152" s="24"/>
      <c r="I152" s="24">
        <v>100000</v>
      </c>
      <c r="J152" s="24"/>
      <c r="K152" s="24"/>
      <c r="L152" s="19" t="str">
        <f t="shared" si="4"/>
        <v>LUNAS</v>
      </c>
      <c r="M152" s="24"/>
      <c r="N152" s="22"/>
      <c r="O152" s="6"/>
      <c r="P152" s="6"/>
      <c r="Q152" s="6"/>
    </row>
    <row r="153" spans="1:17" ht="12.75" customHeight="1" x14ac:dyDescent="0.3">
      <c r="A153" s="6"/>
      <c r="B153" s="19">
        <v>150</v>
      </c>
      <c r="C153" s="20" t="str">
        <f>NamaPelanggan!C152</f>
        <v>JAM-150</v>
      </c>
      <c r="D153" s="21" t="str">
        <f>NamaPelanggan!D152</f>
        <v>ANDI</v>
      </c>
      <c r="E153" s="21" t="str">
        <f>NamaPelanggan!E152</f>
        <v>JAMBU</v>
      </c>
      <c r="F153" s="23">
        <f>NamaPelanggan!H152</f>
        <v>100000</v>
      </c>
      <c r="G153" s="24"/>
      <c r="H153" s="24"/>
      <c r="I153" s="24">
        <v>100000</v>
      </c>
      <c r="J153" s="24"/>
      <c r="K153" s="24"/>
      <c r="L153" s="19" t="str">
        <f t="shared" si="4"/>
        <v>LUNAS</v>
      </c>
      <c r="M153" s="24"/>
      <c r="N153" s="22"/>
      <c r="O153" s="6"/>
      <c r="P153" s="6"/>
      <c r="Q153" s="6"/>
    </row>
    <row r="154" spans="1:17" ht="12.75" customHeight="1" x14ac:dyDescent="0.3">
      <c r="A154" s="6"/>
      <c r="B154" s="19">
        <v>151</v>
      </c>
      <c r="C154" s="20" t="str">
        <f>NamaPelanggan!C153</f>
        <v>JAM-151</v>
      </c>
      <c r="D154" s="21" t="str">
        <f>NamaPelanggan!D153</f>
        <v>EDY</v>
      </c>
      <c r="E154" s="21" t="str">
        <f>NamaPelanggan!E153</f>
        <v>JAMBU</v>
      </c>
      <c r="F154" s="23">
        <f>NamaPelanggan!H153</f>
        <v>100000</v>
      </c>
      <c r="G154" s="24"/>
      <c r="H154" s="24"/>
      <c r="I154" s="24">
        <v>100000</v>
      </c>
      <c r="J154" s="24"/>
      <c r="K154" s="24"/>
      <c r="L154" s="19" t="str">
        <f t="shared" si="4"/>
        <v>LUNAS</v>
      </c>
      <c r="M154" s="24"/>
      <c r="N154" s="22"/>
      <c r="O154" s="6"/>
      <c r="P154" s="6"/>
      <c r="Q154" s="6"/>
    </row>
    <row r="155" spans="1:17" ht="12.75" customHeight="1" x14ac:dyDescent="0.3">
      <c r="A155" s="6"/>
      <c r="B155" s="19">
        <v>152</v>
      </c>
      <c r="C155" s="20" t="str">
        <f>NamaPelanggan!C154</f>
        <v>JAM-152</v>
      </c>
      <c r="D155" s="21" t="str">
        <f>NamaPelanggan!D154</f>
        <v>INDAH</v>
      </c>
      <c r="E155" s="21" t="str">
        <f>NamaPelanggan!E154</f>
        <v>JAMBU</v>
      </c>
      <c r="F155" s="23">
        <f>NamaPelanggan!H154</f>
        <v>100000</v>
      </c>
      <c r="G155" s="24"/>
      <c r="H155" s="24"/>
      <c r="I155" s="24">
        <v>100000</v>
      </c>
      <c r="J155" s="24"/>
      <c r="K155" s="24"/>
      <c r="L155" s="19" t="str">
        <f t="shared" si="4"/>
        <v>LUNAS</v>
      </c>
      <c r="M155" s="24"/>
      <c r="N155" s="22"/>
      <c r="O155" s="6"/>
      <c r="P155" s="6"/>
      <c r="Q155" s="6"/>
    </row>
    <row r="156" spans="1:17" ht="12.75" customHeight="1" x14ac:dyDescent="0.3">
      <c r="A156" s="6"/>
      <c r="B156" s="19">
        <v>153</v>
      </c>
      <c r="C156" s="20" t="str">
        <f>NamaPelanggan!C155</f>
        <v>JAM-153</v>
      </c>
      <c r="D156" s="21" t="str">
        <f>NamaPelanggan!D155</f>
        <v>SELAMET / p. mita</v>
      </c>
      <c r="E156" s="21" t="str">
        <f>NamaPelanggan!E155</f>
        <v>JAMBU</v>
      </c>
      <c r="F156" s="23">
        <f>NamaPelanggan!H155</f>
        <v>100000</v>
      </c>
      <c r="G156" s="24"/>
      <c r="H156" s="24"/>
      <c r="I156" s="24">
        <v>100000</v>
      </c>
      <c r="J156" s="24"/>
      <c r="K156" s="24"/>
      <c r="L156" s="19" t="str">
        <f t="shared" si="4"/>
        <v>LUNAS</v>
      </c>
      <c r="M156" s="24"/>
      <c r="N156" s="22"/>
      <c r="O156" s="6"/>
      <c r="P156" s="6"/>
      <c r="Q156" s="6"/>
    </row>
    <row r="157" spans="1:17" ht="12.75" customHeight="1" x14ac:dyDescent="0.3">
      <c r="A157" s="6"/>
      <c r="B157" s="19">
        <v>154</v>
      </c>
      <c r="C157" s="20" t="str">
        <f>NamaPelanggan!C156</f>
        <v>JAM-154</v>
      </c>
      <c r="D157" s="21" t="str">
        <f>NamaPelanggan!D156</f>
        <v>hari</v>
      </c>
      <c r="E157" s="21" t="str">
        <f>NamaPelanggan!E156</f>
        <v>JAMBU</v>
      </c>
      <c r="F157" s="23">
        <f>NamaPelanggan!H156</f>
        <v>100000</v>
      </c>
      <c r="G157" s="24"/>
      <c r="H157" s="24"/>
      <c r="I157" s="24">
        <v>100000</v>
      </c>
      <c r="J157" s="24"/>
      <c r="K157" s="24"/>
      <c r="L157" s="19" t="str">
        <f t="shared" si="4"/>
        <v>LUNAS</v>
      </c>
      <c r="M157" s="24"/>
      <c r="N157" s="22"/>
      <c r="O157" s="6"/>
      <c r="P157" s="6"/>
      <c r="Q157" s="6"/>
    </row>
    <row r="158" spans="1:17" ht="12.75" customHeight="1" x14ac:dyDescent="0.3">
      <c r="A158" s="6"/>
      <c r="B158" s="19">
        <v>155</v>
      </c>
      <c r="C158" s="20" t="str">
        <f>NamaPelanggan!C157</f>
        <v>JAM-155</v>
      </c>
      <c r="D158" s="21" t="str">
        <f>NamaPelanggan!D157</f>
        <v>VIRGA</v>
      </c>
      <c r="E158" s="21" t="str">
        <f>NamaPelanggan!E157</f>
        <v>JAMBU</v>
      </c>
      <c r="F158" s="23">
        <f>NamaPelanggan!H157</f>
        <v>100000</v>
      </c>
      <c r="G158" s="24"/>
      <c r="H158" s="24"/>
      <c r="I158" s="24">
        <v>100000</v>
      </c>
      <c r="J158" s="24"/>
      <c r="K158" s="24"/>
      <c r="L158" s="19" t="str">
        <f t="shared" ref="L158:L192" si="5">IF(SUM(G158:K158)&gt;0,"LUNAS","BELUM LUNAS")</f>
        <v>LUNAS</v>
      </c>
      <c r="M158" s="24"/>
      <c r="N158" s="22"/>
      <c r="O158" s="6"/>
      <c r="P158" s="6"/>
      <c r="Q158" s="6"/>
    </row>
    <row r="159" spans="1:17" ht="12.75" customHeight="1" x14ac:dyDescent="0.3">
      <c r="A159" s="6"/>
      <c r="B159" s="19">
        <v>156</v>
      </c>
      <c r="C159" s="20" t="str">
        <f>NamaPelanggan!C158</f>
        <v>JAM-156</v>
      </c>
      <c r="D159" s="21" t="str">
        <f>NamaPelanggan!D158</f>
        <v>DIMAS</v>
      </c>
      <c r="E159" s="21" t="str">
        <f>NamaPelanggan!E158</f>
        <v>JAMBU</v>
      </c>
      <c r="F159" s="23">
        <f>NamaPelanggan!H158</f>
        <v>100000</v>
      </c>
      <c r="G159" s="24"/>
      <c r="H159" s="24"/>
      <c r="I159" s="24">
        <v>100000</v>
      </c>
      <c r="J159" s="24"/>
      <c r="K159" s="24"/>
      <c r="L159" s="19" t="str">
        <f t="shared" si="5"/>
        <v>LUNAS</v>
      </c>
      <c r="M159" s="24"/>
      <c r="N159" s="22"/>
      <c r="O159" s="6"/>
      <c r="P159" s="6"/>
      <c r="Q159" s="6"/>
    </row>
    <row r="160" spans="1:17" ht="12.75" customHeight="1" x14ac:dyDescent="0.3">
      <c r="A160" s="6"/>
      <c r="B160" s="19">
        <v>157</v>
      </c>
      <c r="C160" s="20" t="str">
        <f>NamaPelanggan!C159</f>
        <v>JAM-157</v>
      </c>
      <c r="D160" s="21" t="str">
        <f>NamaPelanggan!D159</f>
        <v>lia</v>
      </c>
      <c r="E160" s="21" t="str">
        <f>NamaPelanggan!E159</f>
        <v>JAMBU</v>
      </c>
      <c r="F160" s="23">
        <f>NamaPelanggan!H159</f>
        <v>100000</v>
      </c>
      <c r="G160" s="24"/>
      <c r="H160" s="24"/>
      <c r="I160" s="24">
        <v>100000</v>
      </c>
      <c r="J160" s="24"/>
      <c r="K160" s="24"/>
      <c r="L160" s="19" t="str">
        <f t="shared" si="5"/>
        <v>LUNAS</v>
      </c>
      <c r="M160" s="24"/>
      <c r="N160" s="22"/>
      <c r="O160" s="6"/>
      <c r="P160" s="6"/>
      <c r="Q160" s="6"/>
    </row>
    <row r="161" spans="1:17" ht="12.75" customHeight="1" x14ac:dyDescent="0.3">
      <c r="A161" s="6"/>
      <c r="B161" s="19">
        <v>158</v>
      </c>
      <c r="C161" s="20" t="str">
        <f>NamaPelanggan!C160</f>
        <v>JAM-158</v>
      </c>
      <c r="D161" s="21" t="str">
        <f>NamaPelanggan!D160</f>
        <v>dina</v>
      </c>
      <c r="E161" s="21" t="str">
        <f>NamaPelanggan!E160</f>
        <v>JAMBU (TOKO) idinan</v>
      </c>
      <c r="F161" s="23">
        <f>NamaPelanggan!H160</f>
        <v>100000</v>
      </c>
      <c r="G161" s="24"/>
      <c r="H161" s="24"/>
      <c r="I161" s="24">
        <v>100000</v>
      </c>
      <c r="J161" s="24"/>
      <c r="K161" s="24"/>
      <c r="L161" s="19" t="str">
        <f t="shared" si="5"/>
        <v>LUNAS</v>
      </c>
      <c r="M161" s="24"/>
      <c r="N161" s="22"/>
      <c r="O161" s="6"/>
      <c r="P161" s="6"/>
      <c r="Q161" s="6"/>
    </row>
    <row r="162" spans="1:17" ht="12.75" customHeight="1" x14ac:dyDescent="0.3">
      <c r="A162" s="6"/>
      <c r="B162" s="19">
        <v>159</v>
      </c>
      <c r="C162" s="20" t="str">
        <f>NamaPelanggan!C161</f>
        <v>JAM-159</v>
      </c>
      <c r="D162" s="21" t="str">
        <f>NamaPelanggan!D161</f>
        <v>posko lidjen</v>
      </c>
      <c r="E162" s="21" t="str">
        <f>NamaPelanggan!E161</f>
        <v>jambu</v>
      </c>
      <c r="F162" s="23">
        <f>NamaPelanggan!H161</f>
        <v>100000</v>
      </c>
      <c r="G162" s="24"/>
      <c r="H162" s="24"/>
      <c r="I162" s="24">
        <v>100000</v>
      </c>
      <c r="J162" s="24"/>
      <c r="K162" s="24"/>
      <c r="L162" s="19" t="str">
        <f t="shared" si="5"/>
        <v>LUNAS</v>
      </c>
      <c r="M162" s="24"/>
      <c r="N162" s="22"/>
      <c r="O162" s="6"/>
      <c r="P162" s="6"/>
      <c r="Q162" s="6"/>
    </row>
    <row r="163" spans="1:17" ht="12.75" customHeight="1" x14ac:dyDescent="0.3">
      <c r="A163" s="6"/>
      <c r="B163" s="19">
        <v>160</v>
      </c>
      <c r="C163" s="20" t="str">
        <f>NamaPelanggan!C162</f>
        <v>JAM-160</v>
      </c>
      <c r="D163" s="21" t="str">
        <f>NamaPelanggan!D162</f>
        <v>nanang</v>
      </c>
      <c r="E163" s="21" t="str">
        <f>NamaPelanggan!E162</f>
        <v>jambu</v>
      </c>
      <c r="F163" s="23">
        <f>NamaPelanggan!H162</f>
        <v>100000</v>
      </c>
      <c r="G163" s="24"/>
      <c r="H163" s="24"/>
      <c r="I163" s="24">
        <v>100000</v>
      </c>
      <c r="J163" s="24"/>
      <c r="K163" s="24"/>
      <c r="L163" s="19" t="str">
        <f t="shared" si="5"/>
        <v>LUNAS</v>
      </c>
      <c r="M163" s="24"/>
      <c r="N163" s="22"/>
      <c r="O163" s="6"/>
      <c r="P163" s="6"/>
      <c r="Q163" s="6"/>
    </row>
    <row r="164" spans="1:17" ht="12.75" customHeight="1" x14ac:dyDescent="0.3">
      <c r="A164" s="6"/>
      <c r="B164" s="19">
        <v>161</v>
      </c>
      <c r="C164" s="20" t="str">
        <f>NamaPelanggan!C163</f>
        <v>JAM-161</v>
      </c>
      <c r="D164" s="21" t="str">
        <f>NamaPelanggan!D163</f>
        <v>yanti juno</v>
      </c>
      <c r="E164" s="21" t="str">
        <f>NamaPelanggan!E163</f>
        <v>JAMBU</v>
      </c>
      <c r="F164" s="23">
        <f>NamaPelanggan!H163</f>
        <v>100000</v>
      </c>
      <c r="G164" s="24"/>
      <c r="H164" s="24"/>
      <c r="I164" s="24">
        <v>100000</v>
      </c>
      <c r="J164" s="24"/>
      <c r="K164" s="24"/>
      <c r="L164" s="19" t="str">
        <f t="shared" si="5"/>
        <v>LUNAS</v>
      </c>
      <c r="M164" s="24"/>
      <c r="N164" s="22"/>
      <c r="O164" s="6"/>
      <c r="P164" s="6"/>
      <c r="Q164" s="6"/>
    </row>
    <row r="165" spans="1:17" ht="12.75" customHeight="1" x14ac:dyDescent="0.3">
      <c r="A165" s="6"/>
      <c r="B165" s="19">
        <v>162</v>
      </c>
      <c r="C165" s="20" t="str">
        <f>NamaPelanggan!C164</f>
        <v>KAL-162</v>
      </c>
      <c r="D165" s="21" t="str">
        <f>NamaPelanggan!D164</f>
        <v>ADI@SUS</v>
      </c>
      <c r="E165" s="21" t="str">
        <f>NamaPelanggan!E164</f>
        <v>KALONGAN</v>
      </c>
      <c r="F165" s="23">
        <f>NamaPelanggan!H164</f>
        <v>100000</v>
      </c>
      <c r="G165" s="24"/>
      <c r="H165" s="24"/>
      <c r="I165" s="24">
        <v>100000</v>
      </c>
      <c r="J165" s="24"/>
      <c r="K165" s="24"/>
      <c r="L165" s="19" t="str">
        <f t="shared" si="5"/>
        <v>LUNAS</v>
      </c>
      <c r="M165" s="24"/>
      <c r="N165" s="22"/>
      <c r="O165" s="6"/>
      <c r="P165" s="6"/>
      <c r="Q165" s="6"/>
    </row>
    <row r="166" spans="1:17" ht="12.75" customHeight="1" x14ac:dyDescent="0.3">
      <c r="A166" s="6"/>
      <c r="B166" s="19">
        <v>163</v>
      </c>
      <c r="C166" s="20" t="str">
        <f>NamaPelanggan!C165</f>
        <v>KAL-163</v>
      </c>
      <c r="D166" s="21" t="str">
        <f>NamaPelanggan!D165</f>
        <v>ADIS@ARIP</v>
      </c>
      <c r="E166" s="21" t="str">
        <f>NamaPelanggan!E165</f>
        <v>KALONGAN</v>
      </c>
      <c r="F166" s="23">
        <f>NamaPelanggan!H165</f>
        <v>100000</v>
      </c>
      <c r="G166" s="24"/>
      <c r="H166" s="24"/>
      <c r="I166" s="24">
        <v>100000</v>
      </c>
      <c r="J166" s="24"/>
      <c r="K166" s="24"/>
      <c r="L166" s="19" t="str">
        <f t="shared" si="5"/>
        <v>LUNAS</v>
      </c>
      <c r="M166" s="24"/>
      <c r="N166" s="22"/>
      <c r="O166" s="6"/>
      <c r="P166" s="6"/>
      <c r="Q166" s="6"/>
    </row>
    <row r="167" spans="1:17" ht="12.75" customHeight="1" x14ac:dyDescent="0.3">
      <c r="A167" s="6"/>
      <c r="B167" s="19">
        <v>164</v>
      </c>
      <c r="C167" s="20" t="str">
        <f>NamaPelanggan!C166</f>
        <v>KAL-164</v>
      </c>
      <c r="D167" s="21" t="str">
        <f>NamaPelanggan!D166</f>
        <v>AGUS@KIKI</v>
      </c>
      <c r="E167" s="21" t="str">
        <f>NamaPelanggan!E166</f>
        <v>KALONGAN</v>
      </c>
      <c r="F167" s="23">
        <f>NamaPelanggan!H166</f>
        <v>100000</v>
      </c>
      <c r="G167" s="24"/>
      <c r="H167" s="24"/>
      <c r="I167" s="24">
        <v>100000</v>
      </c>
      <c r="J167" s="24"/>
      <c r="K167" s="24"/>
      <c r="L167" s="19" t="str">
        <f t="shared" si="5"/>
        <v>LUNAS</v>
      </c>
      <c r="M167" s="24"/>
      <c r="N167" s="22"/>
      <c r="O167" s="6"/>
      <c r="P167" s="6"/>
      <c r="Q167" s="6"/>
    </row>
    <row r="168" spans="1:17" ht="12.75" customHeight="1" x14ac:dyDescent="0.3">
      <c r="A168" s="6"/>
      <c r="B168" s="19">
        <v>165</v>
      </c>
      <c r="C168" s="20" t="str">
        <f>NamaPelanggan!C167</f>
        <v>KAL-165</v>
      </c>
      <c r="D168" s="21" t="str">
        <f>NamaPelanggan!D167</f>
        <v>BASIR@OHANG</v>
      </c>
      <c r="E168" s="21" t="str">
        <f>NamaPelanggan!E167</f>
        <v>KALONGAN</v>
      </c>
      <c r="F168" s="23">
        <f>NamaPelanggan!H167</f>
        <v>100000</v>
      </c>
      <c r="G168" s="24"/>
      <c r="H168" s="24"/>
      <c r="I168" s="24">
        <v>100000</v>
      </c>
      <c r="J168" s="24"/>
      <c r="K168" s="24"/>
      <c r="L168" s="19" t="str">
        <f t="shared" si="5"/>
        <v>LUNAS</v>
      </c>
      <c r="M168" s="24"/>
      <c r="N168" s="22"/>
      <c r="O168" s="6"/>
      <c r="P168" s="6"/>
      <c r="Q168" s="6"/>
    </row>
    <row r="169" spans="1:17" ht="12.75" customHeight="1" x14ac:dyDescent="0.3">
      <c r="A169" s="6"/>
      <c r="B169" s="19">
        <v>166</v>
      </c>
      <c r="C169" s="20" t="str">
        <f>NamaPelanggan!C168</f>
        <v>KAL-166</v>
      </c>
      <c r="D169" s="21" t="str">
        <f>NamaPelanggan!D168</f>
        <v>DILAH@UMI</v>
      </c>
      <c r="E169" s="21" t="str">
        <f>NamaPelanggan!E168</f>
        <v>KALONGAN</v>
      </c>
      <c r="F169" s="23">
        <f>NamaPelanggan!H168</f>
        <v>100000</v>
      </c>
      <c r="G169" s="24"/>
      <c r="H169" s="24"/>
      <c r="I169" s="24">
        <v>100000</v>
      </c>
      <c r="J169" s="24"/>
      <c r="K169" s="24"/>
      <c r="L169" s="19" t="str">
        <f t="shared" si="5"/>
        <v>LUNAS</v>
      </c>
      <c r="M169" s="24"/>
      <c r="N169" s="22"/>
      <c r="O169" s="6"/>
      <c r="P169" s="6"/>
      <c r="Q169" s="6"/>
    </row>
    <row r="170" spans="1:17" ht="12.75" customHeight="1" x14ac:dyDescent="0.3">
      <c r="A170" s="6"/>
      <c r="B170" s="19">
        <v>167</v>
      </c>
      <c r="C170" s="20" t="str">
        <f>NamaPelanggan!C169</f>
        <v>KAL-167</v>
      </c>
      <c r="D170" s="21" t="str">
        <f>NamaPelanggan!D169</f>
        <v>DORIK@AYUN</v>
      </c>
      <c r="E170" s="21" t="str">
        <f>NamaPelanggan!E169</f>
        <v>KALONGAN</v>
      </c>
      <c r="F170" s="23">
        <f>NamaPelanggan!H169</f>
        <v>100000</v>
      </c>
      <c r="G170" s="24"/>
      <c r="H170" s="24"/>
      <c r="I170" s="24">
        <v>100000</v>
      </c>
      <c r="J170" s="24"/>
      <c r="K170" s="24"/>
      <c r="L170" s="19" t="str">
        <f t="shared" si="5"/>
        <v>LUNAS</v>
      </c>
      <c r="M170" s="24"/>
      <c r="N170" s="22"/>
      <c r="O170" s="6"/>
      <c r="P170" s="6"/>
      <c r="Q170" s="6"/>
    </row>
    <row r="171" spans="1:17" ht="12.75" customHeight="1" x14ac:dyDescent="0.3">
      <c r="A171" s="6"/>
      <c r="B171" s="19">
        <v>168</v>
      </c>
      <c r="C171" s="20" t="str">
        <f>NamaPelanggan!C170</f>
        <v>KAL-168</v>
      </c>
      <c r="D171" s="21" t="str">
        <f>NamaPelanggan!D170</f>
        <v>KANA@KALONGAN</v>
      </c>
      <c r="E171" s="21" t="str">
        <f>NamaPelanggan!E170</f>
        <v>KALONGAN</v>
      </c>
      <c r="F171" s="23">
        <f>NamaPelanggan!H170</f>
        <v>100000</v>
      </c>
      <c r="G171" s="24"/>
      <c r="H171" s="24"/>
      <c r="I171" s="24">
        <v>100000</v>
      </c>
      <c r="J171" s="24"/>
      <c r="K171" s="24"/>
      <c r="L171" s="19" t="str">
        <f t="shared" si="5"/>
        <v>LUNAS</v>
      </c>
      <c r="M171" s="24"/>
      <c r="N171" s="22"/>
      <c r="O171" s="6"/>
      <c r="P171" s="6"/>
      <c r="Q171" s="6"/>
    </row>
    <row r="172" spans="1:17" ht="12.75" customHeight="1" x14ac:dyDescent="0.3">
      <c r="A172" s="6"/>
      <c r="B172" s="19">
        <v>169</v>
      </c>
      <c r="C172" s="20" t="str">
        <f>NamaPelanggan!C171</f>
        <v>KAL-169</v>
      </c>
      <c r="D172" s="21" t="str">
        <f>NamaPelanggan!D171</f>
        <v>LATIF@YESA</v>
      </c>
      <c r="E172" s="21" t="str">
        <f>NamaPelanggan!E171</f>
        <v>KALONGAN</v>
      </c>
      <c r="F172" s="23">
        <f>NamaPelanggan!H171</f>
        <v>100000</v>
      </c>
      <c r="G172" s="24"/>
      <c r="H172" s="24"/>
      <c r="I172" s="24">
        <v>100000</v>
      </c>
      <c r="J172" s="24"/>
      <c r="K172" s="24"/>
      <c r="L172" s="19" t="str">
        <f t="shared" si="5"/>
        <v>LUNAS</v>
      </c>
      <c r="M172" s="24"/>
      <c r="N172" s="22"/>
      <c r="O172" s="6"/>
      <c r="P172" s="6"/>
      <c r="Q172" s="6"/>
    </row>
    <row r="173" spans="1:17" ht="12.75" customHeight="1" x14ac:dyDescent="0.3">
      <c r="A173" s="6"/>
      <c r="B173" s="19">
        <v>170</v>
      </c>
      <c r="C173" s="20" t="str">
        <f>NamaPelanggan!C172</f>
        <v>KAL-170</v>
      </c>
      <c r="D173" s="21" t="str">
        <f>NamaPelanggan!D172</f>
        <v>RISKI@ELEK</v>
      </c>
      <c r="E173" s="21" t="str">
        <f>NamaPelanggan!E172</f>
        <v>KALONGAN</v>
      </c>
      <c r="F173" s="23">
        <f>NamaPelanggan!H172</f>
        <v>100000</v>
      </c>
      <c r="G173" s="24"/>
      <c r="H173" s="24"/>
      <c r="I173" s="24">
        <v>200000</v>
      </c>
      <c r="J173" s="24"/>
      <c r="K173" s="24"/>
      <c r="L173" s="19" t="str">
        <f t="shared" si="5"/>
        <v>LUNAS</v>
      </c>
      <c r="M173" s="24"/>
      <c r="N173" s="22"/>
      <c r="O173" s="6"/>
      <c r="P173" s="6"/>
      <c r="Q173" s="6"/>
    </row>
    <row r="174" spans="1:17" ht="12.75" customHeight="1" x14ac:dyDescent="0.3">
      <c r="A174" s="6"/>
      <c r="B174" s="19">
        <v>171</v>
      </c>
      <c r="C174" s="20" t="str">
        <f>NamaPelanggan!C173</f>
        <v>KAL-171</v>
      </c>
      <c r="D174" s="21" t="str">
        <f>NamaPelanggan!D173</f>
        <v>SAN@RITA</v>
      </c>
      <c r="E174" s="21" t="str">
        <f>NamaPelanggan!E173</f>
        <v>KALONGAN</v>
      </c>
      <c r="F174" s="23">
        <f>NamaPelanggan!H173</f>
        <v>100000</v>
      </c>
      <c r="G174" s="24"/>
      <c r="H174" s="24"/>
      <c r="I174" s="24">
        <v>100000</v>
      </c>
      <c r="J174" s="24"/>
      <c r="K174" s="24"/>
      <c r="L174" s="19" t="str">
        <f t="shared" si="5"/>
        <v>LUNAS</v>
      </c>
      <c r="M174" s="24"/>
      <c r="N174" s="22"/>
      <c r="O174" s="6"/>
      <c r="P174" s="6"/>
      <c r="Q174" s="6"/>
    </row>
    <row r="175" spans="1:17" ht="12.75" customHeight="1" x14ac:dyDescent="0.3">
      <c r="A175" s="6"/>
      <c r="B175" s="19">
        <v>172</v>
      </c>
      <c r="C175" s="20" t="str">
        <f>NamaPelanggan!C174</f>
        <v>KAL-172</v>
      </c>
      <c r="D175" s="21" t="str">
        <f>NamaPelanggan!D174</f>
        <v>SIS@TROPER</v>
      </c>
      <c r="E175" s="21" t="str">
        <f>NamaPelanggan!E174</f>
        <v>KALONGAN</v>
      </c>
      <c r="F175" s="23">
        <f>NamaPelanggan!H174</f>
        <v>100000</v>
      </c>
      <c r="G175" s="24"/>
      <c r="H175" s="24"/>
      <c r="I175" s="24">
        <v>100000</v>
      </c>
      <c r="J175" s="24"/>
      <c r="K175" s="24"/>
      <c r="L175" s="19" t="str">
        <f t="shared" si="5"/>
        <v>LUNAS</v>
      </c>
      <c r="M175" s="24"/>
      <c r="N175" s="22"/>
      <c r="O175" s="6"/>
      <c r="P175" s="6"/>
      <c r="Q175" s="6"/>
    </row>
    <row r="176" spans="1:17" ht="12.75" customHeight="1" x14ac:dyDescent="0.3">
      <c r="A176" s="6"/>
      <c r="B176" s="19">
        <v>173</v>
      </c>
      <c r="C176" s="20" t="str">
        <f>NamaPelanggan!C175</f>
        <v>AMP-173</v>
      </c>
      <c r="D176" s="21" t="str">
        <f>NamaPelanggan!D175</f>
        <v>IQBAL@ZUL</v>
      </c>
      <c r="E176" s="21" t="str">
        <f>NamaPelanggan!E175</f>
        <v>AMPELGADING</v>
      </c>
      <c r="F176" s="23">
        <f>NamaPelanggan!H175</f>
        <v>100000</v>
      </c>
      <c r="G176" s="24"/>
      <c r="H176" s="24"/>
      <c r="I176" s="24">
        <v>100000</v>
      </c>
      <c r="J176" s="24"/>
      <c r="K176" s="24"/>
      <c r="L176" s="19" t="s">
        <v>550</v>
      </c>
      <c r="M176" s="24"/>
      <c r="N176" s="22"/>
      <c r="O176" s="6"/>
      <c r="P176" s="6"/>
      <c r="Q176" s="6"/>
    </row>
    <row r="177" spans="1:17" ht="12.75" customHeight="1" x14ac:dyDescent="0.3">
      <c r="A177" s="6"/>
      <c r="B177" s="19">
        <v>174</v>
      </c>
      <c r="C177" s="20" t="str">
        <f>NamaPelanggan!C176</f>
        <v>AMP-174</v>
      </c>
      <c r="D177" s="21" t="str">
        <f>NamaPelanggan!D176</f>
        <v>P.YATMAN</v>
      </c>
      <c r="E177" s="21" t="str">
        <f>NamaPelanggan!E176</f>
        <v>AMPELGADING</v>
      </c>
      <c r="F177" s="23">
        <f>NamaPelanggan!H176</f>
        <v>100000</v>
      </c>
      <c r="G177" s="24"/>
      <c r="H177" s="24"/>
      <c r="I177" s="24"/>
      <c r="J177" s="24"/>
      <c r="K177" s="24"/>
      <c r="L177" s="19" t="s">
        <v>550</v>
      </c>
      <c r="M177" s="24"/>
      <c r="N177" s="22"/>
      <c r="O177" s="6"/>
      <c r="P177" s="6"/>
      <c r="Q177" s="6"/>
    </row>
    <row r="178" spans="1:17" ht="12.75" customHeight="1" x14ac:dyDescent="0.3">
      <c r="A178" s="6"/>
      <c r="B178" s="19">
        <v>175</v>
      </c>
      <c r="C178" s="20" t="str">
        <f>NamaPelanggan!C177</f>
        <v>AMP-175</v>
      </c>
      <c r="D178" s="21" t="str">
        <f>NamaPelanggan!D177</f>
        <v>tolak</v>
      </c>
      <c r="E178" s="21" t="str">
        <f>NamaPelanggan!E177</f>
        <v>AMPELGADING/ IDINAN</v>
      </c>
      <c r="F178" s="23">
        <f>NamaPelanggan!H177</f>
        <v>100000</v>
      </c>
      <c r="G178" s="24"/>
      <c r="H178" s="24"/>
      <c r="I178" s="24">
        <v>100000</v>
      </c>
      <c r="J178" s="24"/>
      <c r="K178" s="24"/>
      <c r="L178" s="19" t="str">
        <f t="shared" si="5"/>
        <v>LUNAS</v>
      </c>
      <c r="M178" s="24"/>
      <c r="N178" s="22"/>
      <c r="O178" s="6"/>
      <c r="P178" s="6"/>
      <c r="Q178" s="6"/>
    </row>
    <row r="179" spans="1:17" ht="12.75" customHeight="1" x14ac:dyDescent="0.3">
      <c r="A179" s="6"/>
      <c r="B179" s="19">
        <v>176</v>
      </c>
      <c r="C179" s="20" t="str">
        <f>NamaPelanggan!C178</f>
        <v>AMP-176</v>
      </c>
      <c r="D179" s="21" t="str">
        <f>NamaPelanggan!D178</f>
        <v>ERNA</v>
      </c>
      <c r="E179" s="21" t="str">
        <f>NamaPelanggan!E178</f>
        <v>AMPELGADING</v>
      </c>
      <c r="F179" s="23">
        <f>NamaPelanggan!H178</f>
        <v>100000</v>
      </c>
      <c r="G179" s="24"/>
      <c r="H179" s="24"/>
      <c r="I179" s="24">
        <v>100000</v>
      </c>
      <c r="J179" s="24"/>
      <c r="K179" s="24"/>
      <c r="L179" s="19" t="str">
        <f t="shared" si="5"/>
        <v>LUNAS</v>
      </c>
      <c r="M179" s="24"/>
      <c r="N179" s="22"/>
      <c r="O179" s="6"/>
      <c r="P179" s="6"/>
      <c r="Q179" s="6"/>
    </row>
    <row r="180" spans="1:17" ht="12.75" customHeight="1" x14ac:dyDescent="0.3">
      <c r="A180" s="6"/>
      <c r="B180" s="19">
        <v>177</v>
      </c>
      <c r="C180" s="20" t="str">
        <f>NamaPelanggan!C179</f>
        <v>SUM-177</v>
      </c>
      <c r="D180" s="21" t="str">
        <f>NamaPelanggan!D179</f>
        <v>HADIPERHUT</v>
      </c>
      <c r="E180" s="21" t="str">
        <f>NamaPelanggan!E179</f>
        <v>SUMBERWATU</v>
      </c>
      <c r="F180" s="23">
        <f>NamaPelanggan!H179</f>
        <v>100000</v>
      </c>
      <c r="G180" s="24"/>
      <c r="H180" s="24"/>
      <c r="I180" s="24">
        <v>100000</v>
      </c>
      <c r="J180" s="24"/>
      <c r="K180" s="24"/>
      <c r="L180" s="19" t="str">
        <f t="shared" si="5"/>
        <v>LUNAS</v>
      </c>
      <c r="M180" s="24"/>
      <c r="N180" s="22"/>
      <c r="O180" s="6"/>
      <c r="P180" s="6"/>
      <c r="Q180" s="6"/>
    </row>
    <row r="181" spans="1:17" ht="12.75" customHeight="1" x14ac:dyDescent="0.3">
      <c r="A181" s="6"/>
      <c r="B181" s="19">
        <v>178</v>
      </c>
      <c r="C181" s="20" t="str">
        <f>NamaPelanggan!C180</f>
        <v>JAM-178</v>
      </c>
      <c r="D181" s="21" t="str">
        <f>NamaPelanggan!D180</f>
        <v>ijen garden</v>
      </c>
      <c r="E181" s="21" t="str">
        <f>NamaPelanggan!E180</f>
        <v>jambu</v>
      </c>
      <c r="F181" s="23">
        <f>NamaPelanggan!H180</f>
        <v>100000</v>
      </c>
      <c r="G181" s="24"/>
      <c r="H181" s="24"/>
      <c r="I181" s="24">
        <v>100000</v>
      </c>
      <c r="J181" s="24"/>
      <c r="K181" s="24"/>
      <c r="L181" s="19" t="str">
        <f t="shared" si="5"/>
        <v>LUNAS</v>
      </c>
      <c r="M181" s="24"/>
      <c r="N181" s="22"/>
      <c r="O181" s="6"/>
      <c r="P181" s="6"/>
      <c r="Q181" s="6"/>
    </row>
    <row r="182" spans="1:17" ht="12.75" customHeight="1" x14ac:dyDescent="0.3">
      <c r="A182" s="6"/>
      <c r="B182" s="19">
        <v>179</v>
      </c>
      <c r="C182" s="20" t="str">
        <f>NamaPelanggan!C181</f>
        <v>JAM-179</v>
      </c>
      <c r="D182" s="21" t="str">
        <f>NamaPelanggan!D181</f>
        <v>MASMUL</v>
      </c>
      <c r="E182" s="21" t="str">
        <f>NamaPelanggan!E181</f>
        <v>JAMBU</v>
      </c>
      <c r="F182" s="23">
        <f>NamaPelanggan!H181</f>
        <v>50000</v>
      </c>
      <c r="G182" s="24"/>
      <c r="H182" s="24"/>
      <c r="I182" s="24">
        <v>50000</v>
      </c>
      <c r="J182" s="24"/>
      <c r="K182" s="24"/>
      <c r="L182" s="19" t="str">
        <f t="shared" si="5"/>
        <v>LUNAS</v>
      </c>
      <c r="M182" s="24"/>
      <c r="N182" s="22"/>
      <c r="O182" s="6"/>
      <c r="P182" s="6"/>
      <c r="Q182" s="6"/>
    </row>
    <row r="183" spans="1:17" ht="12.75" customHeight="1" x14ac:dyDescent="0.3">
      <c r="A183" s="6"/>
      <c r="B183" s="19">
        <v>180</v>
      </c>
      <c r="C183" s="20" t="str">
        <f>NamaPelanggan!C182</f>
        <v>JAM-180</v>
      </c>
      <c r="D183" s="21" t="str">
        <f>NamaPelanggan!D182</f>
        <v>UUT@DAVA</v>
      </c>
      <c r="E183" s="21" t="str">
        <f>NamaPelanggan!E182</f>
        <v>JAMBU</v>
      </c>
      <c r="F183" s="23">
        <f>NamaPelanggan!H182</f>
        <v>50000</v>
      </c>
      <c r="G183" s="24"/>
      <c r="H183" s="24"/>
      <c r="I183" s="24"/>
      <c r="J183" s="24"/>
      <c r="K183" s="24"/>
      <c r="L183" s="19" t="s">
        <v>550</v>
      </c>
      <c r="M183" s="24"/>
      <c r="N183" s="22"/>
      <c r="O183" s="6"/>
      <c r="P183" s="6"/>
      <c r="Q183" s="6"/>
    </row>
    <row r="184" spans="1:17" ht="12.75" customHeight="1" x14ac:dyDescent="0.3">
      <c r="A184" s="6"/>
      <c r="B184" s="19">
        <v>181</v>
      </c>
      <c r="C184" s="20" t="str">
        <f>NamaPelanggan!C183</f>
        <v>JAM-181</v>
      </c>
      <c r="D184" s="21" t="str">
        <f>NamaPelanggan!D183</f>
        <v>KORAMIL</v>
      </c>
      <c r="E184" s="21" t="str">
        <f>NamaPelanggan!E183</f>
        <v>JAMBU</v>
      </c>
      <c r="F184" s="23">
        <f>NamaPelanggan!H183</f>
        <v>50000</v>
      </c>
      <c r="G184" s="24"/>
      <c r="H184" s="24"/>
      <c r="I184" s="24"/>
      <c r="J184" s="24"/>
      <c r="K184" s="24"/>
      <c r="L184" s="19" t="str">
        <f t="shared" si="5"/>
        <v>BELUM LUNAS</v>
      </c>
      <c r="M184" s="24">
        <v>50000</v>
      </c>
      <c r="N184" s="22" t="s">
        <v>574</v>
      </c>
      <c r="O184" s="6"/>
      <c r="P184" s="6"/>
      <c r="Q184" s="6"/>
    </row>
    <row r="185" spans="1:17" ht="12.75" customHeight="1" x14ac:dyDescent="0.3">
      <c r="A185" s="6"/>
      <c r="B185" s="19">
        <v>182</v>
      </c>
      <c r="C185" s="20" t="str">
        <f>NamaPelanggan!C184</f>
        <v>JAM-182</v>
      </c>
      <c r="D185" s="21" t="str">
        <f>NamaPelanggan!D184</f>
        <v>IPULLRT</v>
      </c>
      <c r="E185" s="21" t="str">
        <f>NamaPelanggan!E184</f>
        <v>JAMBU</v>
      </c>
      <c r="F185" s="23">
        <f>NamaPelanggan!H184</f>
        <v>75000</v>
      </c>
      <c r="G185" s="24"/>
      <c r="H185" s="24"/>
      <c r="I185" s="24">
        <v>75000</v>
      </c>
      <c r="J185" s="24"/>
      <c r="K185" s="24"/>
      <c r="L185" s="19" t="str">
        <f t="shared" si="5"/>
        <v>LUNAS</v>
      </c>
      <c r="M185" s="24"/>
      <c r="N185" s="22"/>
      <c r="O185" s="6"/>
      <c r="P185" s="6"/>
      <c r="Q185" s="6"/>
    </row>
    <row r="186" spans="1:17" ht="12.75" customHeight="1" x14ac:dyDescent="0.3">
      <c r="A186" s="6"/>
      <c r="B186" s="19">
        <v>183</v>
      </c>
      <c r="C186" s="20" t="str">
        <f>NamaPelanggan!C185</f>
        <v>JAM-183</v>
      </c>
      <c r="D186" s="21" t="str">
        <f>NamaPelanggan!D185</f>
        <v>JAMBU@MERAH ( bik watik )</v>
      </c>
      <c r="E186" s="21" t="str">
        <f>NamaPelanggan!E185</f>
        <v>JAMBU</v>
      </c>
      <c r="F186" s="23">
        <f>NamaPelanggan!H185</f>
        <v>90000</v>
      </c>
      <c r="G186" s="24"/>
      <c r="H186" s="24"/>
      <c r="I186" s="24">
        <v>90000</v>
      </c>
      <c r="J186" s="24"/>
      <c r="K186" s="24"/>
      <c r="L186" s="19" t="str">
        <f t="shared" si="5"/>
        <v>LUNAS</v>
      </c>
      <c r="M186" s="24"/>
      <c r="N186" s="22"/>
      <c r="O186" s="6"/>
      <c r="P186" s="6"/>
      <c r="Q186" s="6"/>
    </row>
    <row r="187" spans="1:17" ht="12.75" customHeight="1" x14ac:dyDescent="0.3">
      <c r="A187" s="6"/>
      <c r="B187" s="19">
        <v>184</v>
      </c>
      <c r="C187" s="20" t="str">
        <f>NamaPelanggan!C186</f>
        <v>JAM-184</v>
      </c>
      <c r="D187" s="21" t="str">
        <f>NamaPelanggan!D186</f>
        <v>villa lidjen</v>
      </c>
      <c r="E187" s="21" t="str">
        <f>NamaPelanggan!E186</f>
        <v>JAMBU</v>
      </c>
      <c r="F187" s="23">
        <f>NamaPelanggan!H186</f>
        <v>200000</v>
      </c>
      <c r="G187" s="24"/>
      <c r="H187" s="24"/>
      <c r="I187" s="24">
        <v>200000</v>
      </c>
      <c r="J187" s="24"/>
      <c r="K187" s="24"/>
      <c r="L187" s="19" t="str">
        <f t="shared" si="5"/>
        <v>LUNAS</v>
      </c>
      <c r="M187" s="24"/>
      <c r="N187" s="22"/>
      <c r="O187" s="6"/>
      <c r="P187" s="6"/>
      <c r="Q187" s="6"/>
    </row>
    <row r="188" spans="1:17" ht="12.75" customHeight="1" x14ac:dyDescent="0.3">
      <c r="A188" s="6"/>
      <c r="B188" s="19">
        <v>185</v>
      </c>
      <c r="C188" s="20" t="str">
        <f>NamaPelanggan!C187</f>
        <v>JAM-185</v>
      </c>
      <c r="D188" s="21" t="str">
        <f>NamaPelanggan!D187</f>
        <v xml:space="preserve">andi kader </v>
      </c>
      <c r="E188" s="21" t="str">
        <f>NamaPelanggan!E187</f>
        <v>JAMBU</v>
      </c>
      <c r="F188" s="23">
        <f>NamaPelanggan!H187</f>
        <v>100000</v>
      </c>
      <c r="G188" s="24"/>
      <c r="H188" s="24"/>
      <c r="I188" s="24">
        <v>100000</v>
      </c>
      <c r="J188" s="24"/>
      <c r="K188" s="24"/>
      <c r="L188" s="19" t="str">
        <f t="shared" si="5"/>
        <v>LUNAS</v>
      </c>
      <c r="M188" s="24"/>
      <c r="N188" s="22"/>
      <c r="O188" s="6"/>
      <c r="P188" s="6"/>
      <c r="Q188" s="6"/>
    </row>
    <row r="189" spans="1:17" ht="12.75" customHeight="1" x14ac:dyDescent="0.3">
      <c r="A189" s="6"/>
      <c r="B189" s="19">
        <v>186</v>
      </c>
      <c r="C189" s="20" t="str">
        <f>NamaPelanggan!C188</f>
        <v>JAM-186</v>
      </c>
      <c r="D189" s="21" t="str">
        <f>NamaPelanggan!D188</f>
        <v>elhan/ kurik</v>
      </c>
      <c r="E189" s="21" t="str">
        <f>NamaPelanggan!E188</f>
        <v>JAMBU</v>
      </c>
      <c r="F189" s="23">
        <f>NamaPelanggan!H188</f>
        <v>100000</v>
      </c>
      <c r="G189" s="24"/>
      <c r="H189" s="24"/>
      <c r="I189" s="24">
        <v>100000</v>
      </c>
      <c r="J189" s="24"/>
      <c r="K189" s="24"/>
      <c r="L189" s="19"/>
      <c r="M189" s="24"/>
      <c r="N189" s="22"/>
      <c r="O189" s="6"/>
      <c r="P189" s="6"/>
      <c r="Q189" s="6"/>
    </row>
    <row r="190" spans="1:17" ht="12.75" customHeight="1" x14ac:dyDescent="0.3">
      <c r="A190" s="6"/>
      <c r="B190" s="19">
        <v>187</v>
      </c>
      <c r="C190" s="20" t="str">
        <f>NamaPelanggan!C189</f>
        <v>JAM-187</v>
      </c>
      <c r="D190" s="21" t="str">
        <f>NamaPelanggan!D189</f>
        <v>pos tiket</v>
      </c>
      <c r="E190" s="21" t="str">
        <f>NamaPelanggan!E189</f>
        <v>JAMBU</v>
      </c>
      <c r="F190" s="23">
        <f>NamaPelanggan!H189</f>
        <v>100000</v>
      </c>
      <c r="G190" s="24"/>
      <c r="H190" s="24"/>
      <c r="I190" s="24">
        <v>100000</v>
      </c>
      <c r="J190" s="24"/>
      <c r="K190" s="24"/>
      <c r="L190" s="19"/>
      <c r="M190" s="24"/>
      <c r="N190" s="22"/>
      <c r="O190" s="6"/>
      <c r="P190" s="6"/>
      <c r="Q190" s="6"/>
    </row>
    <row r="191" spans="1:17" ht="12.75" customHeight="1" x14ac:dyDescent="0.3">
      <c r="A191" s="6"/>
      <c r="B191" s="19">
        <v>188</v>
      </c>
      <c r="C191" s="20" t="str">
        <f>NamaPelanggan!C190</f>
        <v>JAM-188</v>
      </c>
      <c r="D191" s="21" t="str">
        <f>NamaPelanggan!D190</f>
        <v>WARUNG@OSENG / bumdes</v>
      </c>
      <c r="E191" s="21" t="str">
        <f>NamaPelanggan!E190</f>
        <v>JAMBU</v>
      </c>
      <c r="F191" s="23">
        <f>NamaPelanggan!H190</f>
        <v>200000</v>
      </c>
      <c r="G191" s="24"/>
      <c r="H191" s="24"/>
      <c r="I191" s="24">
        <v>200000</v>
      </c>
      <c r="J191" s="24"/>
      <c r="K191" s="24"/>
      <c r="L191" s="19" t="str">
        <f t="shared" si="5"/>
        <v>LUNAS</v>
      </c>
      <c r="M191" s="24"/>
      <c r="N191" s="22"/>
      <c r="O191" s="6"/>
      <c r="P191" s="6"/>
      <c r="Q191" s="6"/>
    </row>
    <row r="192" spans="1:17" ht="12.75" customHeight="1" x14ac:dyDescent="0.3">
      <c r="A192" s="6"/>
      <c r="B192" s="19">
        <v>189</v>
      </c>
      <c r="C192" s="20" t="str">
        <f>NamaPelanggan!C191</f>
        <v>JAM-189</v>
      </c>
      <c r="D192" s="21" t="str">
        <f>NamaPelanggan!D191</f>
        <v>LURAH</v>
      </c>
      <c r="E192" s="21" t="str">
        <f>NamaPelanggan!E191</f>
        <v>JAMBU</v>
      </c>
      <c r="F192" s="23">
        <f>NamaPelanggan!H191</f>
        <v>100000</v>
      </c>
      <c r="G192" s="24"/>
      <c r="H192" s="24"/>
      <c r="I192" s="24"/>
      <c r="J192" s="24"/>
      <c r="K192" s="24"/>
      <c r="L192" s="19" t="str">
        <f t="shared" si="5"/>
        <v>BELUM LUNAS</v>
      </c>
      <c r="M192" s="24">
        <v>500000</v>
      </c>
      <c r="N192" s="22" t="s">
        <v>578</v>
      </c>
      <c r="O192" s="6"/>
      <c r="P192" s="6"/>
      <c r="Q192" s="6"/>
    </row>
    <row r="193" spans="1:17" ht="12.75" customHeight="1" x14ac:dyDescent="0.3">
      <c r="A193" s="6"/>
      <c r="B193" s="19">
        <v>190</v>
      </c>
      <c r="C193" s="20" t="str">
        <f>NamaPelanggan!C192</f>
        <v>JAM-190</v>
      </c>
      <c r="D193" s="21" t="str">
        <f>NamaPelanggan!D192</f>
        <v>FATHAN</v>
      </c>
      <c r="E193" s="21" t="str">
        <f>NamaPelanggan!E192</f>
        <v>JAMBU</v>
      </c>
      <c r="F193" s="23">
        <f>NamaPelanggan!H192</f>
        <v>75000</v>
      </c>
      <c r="G193" s="24">
        <v>75000</v>
      </c>
      <c r="H193" s="24"/>
      <c r="I193" s="24"/>
      <c r="J193" s="24"/>
      <c r="K193" s="24"/>
      <c r="L193" s="19" t="str">
        <f t="shared" ref="L193:L198" si="6">IF(SUM(G193:K193)&gt;0,"LUNAS","BELUM LUNAS")</f>
        <v>LUNAS</v>
      </c>
      <c r="M193" s="24"/>
      <c r="N193" s="22"/>
      <c r="O193" s="6"/>
      <c r="P193" s="6"/>
      <c r="Q193" s="6"/>
    </row>
    <row r="194" spans="1:17" ht="12.75" customHeight="1" x14ac:dyDescent="0.3">
      <c r="A194" s="6"/>
      <c r="B194" s="19">
        <v>191</v>
      </c>
      <c r="C194" s="20" t="str">
        <f>NamaPelanggan!C193</f>
        <v>JAM-191</v>
      </c>
      <c r="D194" s="21" t="str">
        <f>NamaPelanggan!D193</f>
        <v>BUDI@TJ</v>
      </c>
      <c r="E194" s="21" t="str">
        <f>NamaPelanggan!E193</f>
        <v>JAMBU</v>
      </c>
      <c r="F194" s="23">
        <f>NamaPelanggan!H193</f>
        <v>100000</v>
      </c>
      <c r="G194" s="24"/>
      <c r="H194" s="24">
        <v>100000</v>
      </c>
      <c r="I194" s="24"/>
      <c r="J194" s="24"/>
      <c r="K194" s="24"/>
      <c r="L194" s="19" t="str">
        <f t="shared" si="6"/>
        <v>LUNAS</v>
      </c>
      <c r="M194" s="24"/>
      <c r="N194" s="22"/>
      <c r="O194" s="6"/>
      <c r="P194" s="6"/>
      <c r="Q194" s="6"/>
    </row>
    <row r="195" spans="1:17" ht="12.75" customHeight="1" x14ac:dyDescent="0.3">
      <c r="A195" s="6"/>
      <c r="B195" s="19">
        <v>192</v>
      </c>
      <c r="C195" s="20" t="str">
        <f>NamaPelanggan!C194</f>
        <v>JAM-192</v>
      </c>
      <c r="D195" s="21" t="str">
        <f>NamaPelanggan!D194</f>
        <v>DEOMAH@OSENG</v>
      </c>
      <c r="E195" s="21" t="str">
        <f>NamaPelanggan!E194</f>
        <v>JAMBU</v>
      </c>
      <c r="F195" s="23">
        <f>NamaPelanggan!H194</f>
        <v>100000</v>
      </c>
      <c r="G195" s="24"/>
      <c r="H195" s="24"/>
      <c r="I195" s="24"/>
      <c r="J195" s="24"/>
      <c r="K195" s="24"/>
      <c r="L195" s="19" t="str">
        <f t="shared" si="6"/>
        <v>BELUM LUNAS</v>
      </c>
      <c r="M195" s="24">
        <v>600000</v>
      </c>
      <c r="N195" s="22" t="s">
        <v>582</v>
      </c>
      <c r="O195" s="6"/>
      <c r="P195" s="6"/>
      <c r="Q195" s="6"/>
    </row>
    <row r="196" spans="1:17" ht="12.75" customHeight="1" x14ac:dyDescent="0.3">
      <c r="A196" s="6"/>
      <c r="B196" s="19">
        <v>193</v>
      </c>
      <c r="C196" s="20" t="str">
        <f>NamaPelanggan!C195</f>
        <v>JAM-193</v>
      </c>
      <c r="D196" s="21" t="str">
        <f>NamaPelanggan!D195</f>
        <v>AROMATIKA</v>
      </c>
      <c r="E196" s="21" t="str">
        <f>NamaPelanggan!E195</f>
        <v>JAMBU</v>
      </c>
      <c r="F196" s="23">
        <f>NamaPelanggan!H195</f>
        <v>100000</v>
      </c>
      <c r="G196" s="24"/>
      <c r="H196" s="24"/>
      <c r="I196" s="24"/>
      <c r="J196" s="24"/>
      <c r="K196" s="24"/>
      <c r="L196" s="19" t="str">
        <f t="shared" si="6"/>
        <v>BELUM LUNAS</v>
      </c>
      <c r="M196" s="24">
        <v>200000</v>
      </c>
      <c r="N196" s="22" t="s">
        <v>583</v>
      </c>
      <c r="O196" s="6"/>
      <c r="P196" s="6"/>
      <c r="Q196" s="6"/>
    </row>
    <row r="197" spans="1:17" ht="12.75" customHeight="1" x14ac:dyDescent="0.3">
      <c r="A197" s="6"/>
      <c r="B197" s="19">
        <v>194</v>
      </c>
      <c r="C197" s="20" t="str">
        <f>NamaPelanggan!C196</f>
        <v>JAM-194</v>
      </c>
      <c r="D197" s="21" t="str">
        <f>NamaPelanggan!D196</f>
        <v>P.YANI</v>
      </c>
      <c r="E197" s="21" t="str">
        <f>NamaPelanggan!E196</f>
        <v>JAMBU</v>
      </c>
      <c r="F197" s="23">
        <f>NamaPelanggan!H196</f>
        <v>100000</v>
      </c>
      <c r="G197" s="24"/>
      <c r="H197" s="24"/>
      <c r="I197" s="24"/>
      <c r="J197" s="24"/>
      <c r="K197" s="24"/>
      <c r="L197" s="19" t="str">
        <f t="shared" si="6"/>
        <v>BELUM LUNAS</v>
      </c>
      <c r="M197" s="24">
        <v>100000</v>
      </c>
      <c r="N197" s="22" t="s">
        <v>574</v>
      </c>
      <c r="O197" s="6"/>
      <c r="P197" s="6"/>
      <c r="Q197" s="6"/>
    </row>
    <row r="198" spans="1:17" ht="12.75" customHeight="1" x14ac:dyDescent="0.3">
      <c r="A198" s="6"/>
      <c r="B198" s="19">
        <v>195</v>
      </c>
      <c r="C198" s="20" t="str">
        <f>NamaPelanggan!C197</f>
        <v>JAM-195</v>
      </c>
      <c r="D198" s="21" t="str">
        <f>NamaPelanggan!D197</f>
        <v>PELANGI</v>
      </c>
      <c r="E198" s="21" t="str">
        <f>NamaPelanggan!E197</f>
        <v>JAMBU</v>
      </c>
      <c r="F198" s="23">
        <f>NamaPelanggan!H197</f>
        <v>100000</v>
      </c>
      <c r="G198" s="24"/>
      <c r="H198" s="24"/>
      <c r="I198" s="24"/>
      <c r="J198" s="24"/>
      <c r="K198" s="24"/>
      <c r="L198" s="19" t="str">
        <f t="shared" si="6"/>
        <v>BELUM LUNAS</v>
      </c>
      <c r="M198" s="24">
        <v>100000</v>
      </c>
      <c r="N198" s="22" t="s">
        <v>549</v>
      </c>
      <c r="O198" s="6"/>
      <c r="P198" s="6"/>
      <c r="Q198" s="6"/>
    </row>
    <row r="199" spans="1:17" ht="12.75" customHeight="1" x14ac:dyDescent="0.3">
      <c r="A199" s="6"/>
      <c r="B199" s="19">
        <v>196</v>
      </c>
      <c r="C199" s="20" t="str">
        <f>NamaPelanggan!C198</f>
        <v>JAM-196</v>
      </c>
      <c r="D199" s="21" t="str">
        <f>NamaPelanggan!D198</f>
        <v>SDN4</v>
      </c>
      <c r="E199" s="21" t="str">
        <f>NamaPelanggan!E198</f>
        <v>JAMBU</v>
      </c>
      <c r="F199" s="23">
        <f>NamaPelanggan!H198</f>
        <v>150000</v>
      </c>
      <c r="G199" s="24"/>
      <c r="H199" s="24"/>
      <c r="I199" s="24"/>
      <c r="J199" s="24"/>
      <c r="K199" s="24"/>
      <c r="L199" s="19" t="str">
        <f t="shared" ref="L199:L215" si="7">IF(SUM(G199:K199)&gt;0,"LUNAS","BELUM LUNAS")</f>
        <v>BELUM LUNAS</v>
      </c>
      <c r="M199" s="24">
        <v>750000</v>
      </c>
      <c r="N199" s="22" t="s">
        <v>578</v>
      </c>
      <c r="O199" s="6"/>
      <c r="P199" s="6"/>
      <c r="Q199" s="6"/>
    </row>
    <row r="200" spans="1:17" ht="12.75" customHeight="1" x14ac:dyDescent="0.3">
      <c r="A200" s="6"/>
      <c r="B200" s="19">
        <v>197</v>
      </c>
      <c r="C200" s="20" t="str">
        <f>NamaPelanggan!C199</f>
        <v>JAM-197</v>
      </c>
      <c r="D200" s="21" t="str">
        <f>NamaPelanggan!D199</f>
        <v>SUNOTOK</v>
      </c>
      <c r="E200" s="21" t="str">
        <f>NamaPelanggan!E199</f>
        <v>JAMBU</v>
      </c>
      <c r="F200" s="23">
        <f>NamaPelanggan!H199</f>
        <v>75000</v>
      </c>
      <c r="G200" s="24"/>
      <c r="H200" s="24"/>
      <c r="I200" s="24"/>
      <c r="J200" s="24"/>
      <c r="K200" s="24"/>
      <c r="L200" s="19" t="str">
        <f t="shared" si="7"/>
        <v>BELUM LUNAS</v>
      </c>
      <c r="M200" s="24">
        <v>375000</v>
      </c>
      <c r="N200" s="22" t="s">
        <v>578</v>
      </c>
      <c r="O200" s="6"/>
      <c r="P200" s="6"/>
      <c r="Q200" s="6"/>
    </row>
    <row r="201" spans="1:17" ht="12.75" customHeight="1" x14ac:dyDescent="0.3">
      <c r="A201" s="6"/>
      <c r="B201" s="19">
        <v>198</v>
      </c>
      <c r="C201" s="20" t="str">
        <f>NamaPelanggan!C200</f>
        <v>JAM-198</v>
      </c>
      <c r="D201" s="21" t="str">
        <f>NamaPelanggan!D200</f>
        <v>TOLAK HOMESTAY</v>
      </c>
      <c r="E201" s="21" t="str">
        <f>NamaPelanggan!E200</f>
        <v>JAMBU</v>
      </c>
      <c r="F201" s="23">
        <f>NamaPelanggan!H200</f>
        <v>100000</v>
      </c>
      <c r="G201" s="24"/>
      <c r="H201" s="24"/>
      <c r="I201" s="24">
        <v>100000</v>
      </c>
      <c r="J201" s="24"/>
      <c r="K201" s="24"/>
      <c r="L201" s="19" t="str">
        <f t="shared" si="7"/>
        <v>LUNAS</v>
      </c>
      <c r="M201" s="24"/>
      <c r="N201" s="22"/>
      <c r="O201" s="6"/>
      <c r="P201" s="6"/>
      <c r="Q201" s="6"/>
    </row>
    <row r="202" spans="1:17" ht="12.75" customHeight="1" x14ac:dyDescent="0.3">
      <c r="A202" s="6"/>
      <c r="B202" s="19">
        <v>199</v>
      </c>
      <c r="C202" s="20" t="str">
        <f>NamaPelanggan!C201</f>
        <v>JAM-199</v>
      </c>
      <c r="D202" s="21" t="str">
        <f>NamaPelanggan!D201</f>
        <v>UYUNG@BUGURU</v>
      </c>
      <c r="E202" s="21" t="str">
        <f>NamaPelanggan!E201</f>
        <v>JAMBU</v>
      </c>
      <c r="F202" s="23">
        <f>NamaPelanggan!H201</f>
        <v>100000</v>
      </c>
      <c r="G202" s="24"/>
      <c r="H202" s="24">
        <v>100000</v>
      </c>
      <c r="I202" s="24"/>
      <c r="J202" s="24"/>
      <c r="K202" s="24"/>
      <c r="L202" s="19" t="str">
        <f t="shared" si="7"/>
        <v>LUNAS</v>
      </c>
      <c r="M202" s="24"/>
      <c r="N202" s="22"/>
      <c r="O202" s="6"/>
      <c r="P202" s="6"/>
      <c r="Q202" s="6"/>
    </row>
    <row r="203" spans="1:17" ht="12.75" customHeight="1" x14ac:dyDescent="0.3">
      <c r="A203" s="6"/>
      <c r="B203" s="19">
        <v>200</v>
      </c>
      <c r="C203" s="20" t="str">
        <f>NamaPelanggan!C202</f>
        <v>JAM-200</v>
      </c>
      <c r="D203" s="21" t="str">
        <f>NamaPelanggan!D202</f>
        <v>SUYONO/ susiyono</v>
      </c>
      <c r="E203" s="21" t="str">
        <f>NamaPelanggan!E202</f>
        <v>JAMBU</v>
      </c>
      <c r="F203" s="23">
        <f>NamaPelanggan!H202</f>
        <v>75000</v>
      </c>
      <c r="G203" s="24"/>
      <c r="H203" s="24"/>
      <c r="I203" s="24"/>
      <c r="J203" s="24"/>
      <c r="K203" s="24"/>
      <c r="L203" s="19" t="str">
        <f t="shared" si="7"/>
        <v>BELUM LUNAS</v>
      </c>
      <c r="M203" s="24">
        <v>75000</v>
      </c>
      <c r="N203" s="22" t="s">
        <v>574</v>
      </c>
      <c r="O203" s="6"/>
      <c r="P203" s="6"/>
      <c r="Q203" s="6"/>
    </row>
    <row r="204" spans="1:17" ht="12.75" customHeight="1" x14ac:dyDescent="0.3">
      <c r="A204" s="6"/>
      <c r="B204" s="19">
        <v>201</v>
      </c>
      <c r="C204" s="20" t="str">
        <f>NamaPelanggan!C203</f>
        <v>JAM-201</v>
      </c>
      <c r="D204" s="21" t="str">
        <f>NamaPelanggan!D203</f>
        <v>OOT@JIDAN</v>
      </c>
      <c r="E204" s="21" t="str">
        <f>NamaPelanggan!E203</f>
        <v>JAMBU</v>
      </c>
      <c r="F204" s="23">
        <f>NamaPelanggan!H203</f>
        <v>100000</v>
      </c>
      <c r="G204" s="24"/>
      <c r="H204" s="24"/>
      <c r="I204" s="24"/>
      <c r="J204" s="24"/>
      <c r="K204" s="24"/>
      <c r="L204" s="19" t="str">
        <f t="shared" si="7"/>
        <v>BELUM LUNAS</v>
      </c>
      <c r="M204" s="24">
        <v>100000</v>
      </c>
      <c r="N204" s="22" t="s">
        <v>574</v>
      </c>
      <c r="O204" s="6"/>
      <c r="P204" s="6"/>
      <c r="Q204" s="6"/>
    </row>
    <row r="205" spans="1:17" ht="12.75" customHeight="1" x14ac:dyDescent="0.3">
      <c r="A205" s="6"/>
      <c r="B205" s="19">
        <v>202</v>
      </c>
      <c r="C205" s="20" t="str">
        <f>NamaPelanggan!C204</f>
        <v>JAM-202</v>
      </c>
      <c r="D205" s="21" t="str">
        <f>NamaPelanggan!D204</f>
        <v xml:space="preserve">nurul bu guru </v>
      </c>
      <c r="E205" s="21" t="str">
        <f>NamaPelanggan!E204</f>
        <v>JAMBU</v>
      </c>
      <c r="F205" s="23">
        <f>NamaPelanggan!H204</f>
        <v>200000</v>
      </c>
      <c r="G205" s="24"/>
      <c r="H205" s="24"/>
      <c r="I205" s="24">
        <v>200000</v>
      </c>
      <c r="J205" s="24"/>
      <c r="K205" s="24"/>
      <c r="L205" s="19" t="str">
        <f t="shared" si="7"/>
        <v>LUNAS</v>
      </c>
      <c r="M205" s="24"/>
      <c r="N205" s="22"/>
      <c r="O205" s="6"/>
      <c r="P205" s="6"/>
      <c r="Q205" s="6"/>
    </row>
    <row r="206" spans="1:17" ht="12.75" customHeight="1" x14ac:dyDescent="0.3">
      <c r="A206" s="6"/>
      <c r="B206" s="19">
        <v>203</v>
      </c>
      <c r="C206" s="20" t="str">
        <f>NamaPelanggan!C205</f>
        <v>JAM-203</v>
      </c>
      <c r="D206" s="21" t="str">
        <f>NamaPelanggan!D205</f>
        <v>FANI@LEO</v>
      </c>
      <c r="E206" s="21" t="str">
        <f>NamaPelanggan!E205</f>
        <v>JAMBU</v>
      </c>
      <c r="F206" s="23" t="str">
        <f>NamaPelanggan!H205</f>
        <v>free</v>
      </c>
      <c r="G206" s="24"/>
      <c r="H206" s="24"/>
      <c r="I206" s="24"/>
      <c r="J206" s="24"/>
      <c r="K206" s="24"/>
      <c r="L206" s="19" t="s">
        <v>550</v>
      </c>
      <c r="M206" s="24"/>
      <c r="N206" s="22"/>
      <c r="O206" s="6"/>
      <c r="P206" s="6"/>
      <c r="Q206" s="6"/>
    </row>
    <row r="207" spans="1:17" ht="12.75" customHeight="1" x14ac:dyDescent="0.3">
      <c r="A207" s="6"/>
      <c r="B207" s="19">
        <v>204</v>
      </c>
      <c r="C207" s="20" t="str">
        <f>NamaPelanggan!C206</f>
        <v>JAM-204</v>
      </c>
      <c r="D207" s="21" t="str">
        <f>NamaPelanggan!D206</f>
        <v>MAKMUM@KASUN</v>
      </c>
      <c r="E207" s="21" t="str">
        <f>NamaPelanggan!E206</f>
        <v>JAMBU</v>
      </c>
      <c r="F207" s="23" t="str">
        <f>NamaPelanggan!H206</f>
        <v>free</v>
      </c>
      <c r="G207" s="24"/>
      <c r="H207" s="24"/>
      <c r="I207" s="24"/>
      <c r="J207" s="24"/>
      <c r="K207" s="24"/>
      <c r="L207" s="19" t="s">
        <v>550</v>
      </c>
      <c r="M207" s="24"/>
      <c r="N207" s="22"/>
      <c r="O207" s="6"/>
      <c r="P207" s="6"/>
      <c r="Q207" s="6"/>
    </row>
    <row r="208" spans="1:17" ht="12.75" customHeight="1" x14ac:dyDescent="0.3">
      <c r="A208" s="6"/>
      <c r="B208" s="19">
        <v>205</v>
      </c>
      <c r="C208" s="20" t="str">
        <f>NamaPelanggan!C207</f>
        <v>KAL-205</v>
      </c>
      <c r="D208" s="21" t="str">
        <f>NamaPelanggan!D207</f>
        <v>HENI@TEKNISI</v>
      </c>
      <c r="E208" s="21" t="str">
        <f>NamaPelanggan!E207</f>
        <v>KALONGAN</v>
      </c>
      <c r="F208" s="23" t="str">
        <f>NamaPelanggan!H207</f>
        <v>free</v>
      </c>
      <c r="G208" s="24"/>
      <c r="H208" s="24"/>
      <c r="I208" s="24"/>
      <c r="J208" s="24"/>
      <c r="K208" s="24"/>
      <c r="L208" s="19" t="s">
        <v>550</v>
      </c>
      <c r="M208" s="24"/>
      <c r="N208" s="22"/>
      <c r="O208" s="6"/>
      <c r="P208" s="6"/>
      <c r="Q208" s="6"/>
    </row>
    <row r="209" spans="1:21" ht="12.75" customHeight="1" x14ac:dyDescent="0.3">
      <c r="A209" s="6"/>
      <c r="B209" s="19">
        <v>206</v>
      </c>
      <c r="C209" s="20" t="str">
        <f>NamaPelanggan!C208</f>
        <v>JAM-206</v>
      </c>
      <c r="D209" s="21" t="str">
        <f>NamaPelanggan!D208</f>
        <v>ALAMIEN (FREE)</v>
      </c>
      <c r="E209" s="21" t="str">
        <f>NamaPelanggan!E208</f>
        <v>JAMBU</v>
      </c>
      <c r="F209" s="23" t="str">
        <f>NamaPelanggan!H208</f>
        <v>free</v>
      </c>
      <c r="G209" s="24"/>
      <c r="H209" s="24"/>
      <c r="I209" s="24"/>
      <c r="J209" s="24"/>
      <c r="K209" s="24"/>
      <c r="L209" s="19" t="s">
        <v>550</v>
      </c>
      <c r="M209" s="24"/>
      <c r="N209" s="22"/>
      <c r="O209" s="6"/>
      <c r="P209" s="6"/>
      <c r="Q209" s="6"/>
    </row>
    <row r="210" spans="1:21" ht="12.75" customHeight="1" x14ac:dyDescent="0.3">
      <c r="A210" s="14"/>
      <c r="B210" s="19">
        <v>207</v>
      </c>
      <c r="C210" s="20" t="str">
        <f>NamaPelanggan!C209</f>
        <v>JAM-207</v>
      </c>
      <c r="D210" s="21" t="str">
        <f>NamaPelanggan!D209</f>
        <v>ucik@iyon</v>
      </c>
      <c r="E210" s="21" t="str">
        <f>NamaPelanggan!E209</f>
        <v>JAMBU</v>
      </c>
      <c r="F210" s="23">
        <f>NamaPelanggan!H209</f>
        <v>100000</v>
      </c>
      <c r="G210" s="24"/>
      <c r="H210" s="24"/>
      <c r="I210" s="24">
        <v>100000</v>
      </c>
      <c r="J210" s="24"/>
      <c r="K210" s="24"/>
      <c r="L210" s="19" t="str">
        <f t="shared" si="7"/>
        <v>LUNAS</v>
      </c>
      <c r="M210" s="23"/>
      <c r="N210" s="19"/>
      <c r="O210" s="14"/>
      <c r="P210" s="14"/>
      <c r="Q210" s="14"/>
      <c r="U210" s="55"/>
    </row>
    <row r="211" spans="1:21" ht="12.75" customHeight="1" x14ac:dyDescent="0.3">
      <c r="A211" s="6"/>
      <c r="B211" s="19">
        <v>208</v>
      </c>
      <c r="C211" s="20" t="str">
        <f>NamaPelanggan!C210</f>
        <v>AMP-208</v>
      </c>
      <c r="D211" s="21" t="str">
        <f>NamaPelanggan!D210</f>
        <v>ADIT</v>
      </c>
      <c r="E211" s="21" t="str">
        <f>NamaPelanggan!E210</f>
        <v>AMPELGADING</v>
      </c>
      <c r="F211" s="23">
        <f>NamaPelanggan!H210</f>
        <v>100000</v>
      </c>
      <c r="G211" s="24"/>
      <c r="H211" s="24"/>
      <c r="I211" s="24">
        <v>200000</v>
      </c>
      <c r="J211" s="24"/>
      <c r="K211" s="24"/>
      <c r="L211" s="19" t="s">
        <v>548</v>
      </c>
      <c r="M211" s="24">
        <v>100000</v>
      </c>
      <c r="N211" s="22" t="s">
        <v>574</v>
      </c>
      <c r="O211" s="6"/>
      <c r="P211" s="6"/>
      <c r="Q211" s="6"/>
    </row>
    <row r="212" spans="1:21" ht="12.75" customHeight="1" x14ac:dyDescent="0.3">
      <c r="A212" s="6"/>
      <c r="B212" s="19">
        <v>209</v>
      </c>
      <c r="C212" s="20" t="str">
        <f>NamaPelanggan!C211</f>
        <v>AMP-209</v>
      </c>
      <c r="D212" s="21" t="str">
        <f>NamaPelanggan!D211</f>
        <v>ANDIKO</v>
      </c>
      <c r="E212" s="21" t="str">
        <f>NamaPelanggan!E211</f>
        <v>AMPELGADING</v>
      </c>
      <c r="F212" s="23">
        <f>NamaPelanggan!H211</f>
        <v>100000</v>
      </c>
      <c r="G212" s="24"/>
      <c r="H212" s="24"/>
      <c r="I212" s="24">
        <v>100000</v>
      </c>
      <c r="J212" s="24"/>
      <c r="K212" s="24"/>
      <c r="L212" s="19" t="str">
        <f t="shared" si="7"/>
        <v>LUNAS</v>
      </c>
      <c r="M212" s="24"/>
      <c r="N212" s="22"/>
      <c r="O212" s="6"/>
      <c r="P212" s="6"/>
      <c r="Q212" s="6"/>
    </row>
    <row r="213" spans="1:21" ht="12.75" customHeight="1" x14ac:dyDescent="0.3">
      <c r="A213" s="6"/>
      <c r="B213" s="19">
        <v>210</v>
      </c>
      <c r="C213" s="20" t="str">
        <f>NamaPelanggan!C212</f>
        <v>AMP-210</v>
      </c>
      <c r="D213" s="21" t="str">
        <f>NamaPelanggan!D212</f>
        <v>B.IPUL</v>
      </c>
      <c r="E213" s="21" t="str">
        <f>NamaPelanggan!E212</f>
        <v>AMPELGADING</v>
      </c>
      <c r="F213" s="23">
        <f>NamaPelanggan!H212</f>
        <v>100000</v>
      </c>
      <c r="G213" s="24"/>
      <c r="H213" s="24"/>
      <c r="I213" s="24">
        <v>100000</v>
      </c>
      <c r="J213" s="24"/>
      <c r="K213" s="24"/>
      <c r="L213" s="19" t="s">
        <v>548</v>
      </c>
      <c r="M213" s="24">
        <v>100000</v>
      </c>
      <c r="N213" s="22" t="s">
        <v>574</v>
      </c>
      <c r="O213" s="6"/>
      <c r="P213" s="6"/>
      <c r="Q213" s="6"/>
    </row>
    <row r="214" spans="1:21" ht="12.75" customHeight="1" x14ac:dyDescent="0.3">
      <c r="A214" s="6"/>
      <c r="B214" s="19">
        <v>211</v>
      </c>
      <c r="C214" s="20" t="str">
        <f>NamaPelanggan!C213</f>
        <v>AMP-211</v>
      </c>
      <c r="D214" s="21" t="str">
        <f>NamaPelanggan!D213</f>
        <v>BINTANG</v>
      </c>
      <c r="E214" s="21" t="str">
        <f>NamaPelanggan!E213</f>
        <v>AMPELGADING</v>
      </c>
      <c r="F214" s="23">
        <f>NamaPelanggan!H213</f>
        <v>100000</v>
      </c>
      <c r="G214" s="24"/>
      <c r="H214" s="24"/>
      <c r="I214" s="24">
        <v>100000</v>
      </c>
      <c r="J214" s="24"/>
      <c r="K214" s="24"/>
      <c r="L214" s="19" t="str">
        <f t="shared" si="7"/>
        <v>LUNAS</v>
      </c>
      <c r="M214" s="24"/>
      <c r="N214" s="22"/>
      <c r="O214" s="6"/>
      <c r="P214" s="6"/>
      <c r="Q214" s="6"/>
    </row>
    <row r="215" spans="1:21" ht="12.75" customHeight="1" x14ac:dyDescent="0.3">
      <c r="A215" s="6"/>
      <c r="B215" s="19">
        <v>212</v>
      </c>
      <c r="C215" s="20" t="str">
        <f>NamaPelanggan!C214</f>
        <v>AMP-212</v>
      </c>
      <c r="D215" s="21" t="str">
        <f>NamaPelanggan!D214</f>
        <v>DIDIK@KEBUN</v>
      </c>
      <c r="E215" s="21" t="str">
        <f>NamaPelanggan!E214</f>
        <v>AMPELGADING</v>
      </c>
      <c r="F215" s="23">
        <f>NamaPelanggan!H214</f>
        <v>100000</v>
      </c>
      <c r="G215" s="24"/>
      <c r="H215" s="24"/>
      <c r="I215" s="24">
        <v>100000</v>
      </c>
      <c r="J215" s="24"/>
      <c r="K215" s="24"/>
      <c r="L215" s="19" t="str">
        <f t="shared" si="7"/>
        <v>LUNAS</v>
      </c>
      <c r="M215" s="24"/>
      <c r="N215" s="22"/>
      <c r="O215" s="6"/>
      <c r="P215" s="6"/>
      <c r="Q215" s="6"/>
    </row>
    <row r="216" spans="1:21" ht="12.75" customHeight="1" x14ac:dyDescent="0.3">
      <c r="A216" s="6"/>
      <c r="B216" s="19">
        <v>213</v>
      </c>
      <c r="C216" s="20" t="str">
        <f>NamaPelanggan!C215</f>
        <v>AMP-213</v>
      </c>
      <c r="D216" s="21" t="str">
        <f>NamaPelanggan!D215</f>
        <v>DYAN@SARI</v>
      </c>
      <c r="E216" s="21" t="str">
        <f>NamaPelanggan!E215</f>
        <v>AMPELGADING</v>
      </c>
      <c r="F216" s="23">
        <f>NamaPelanggan!H215</f>
        <v>100000</v>
      </c>
      <c r="G216" s="24"/>
      <c r="H216" s="24"/>
      <c r="I216" s="24">
        <v>200000</v>
      </c>
      <c r="J216" s="24"/>
      <c r="K216" s="24"/>
      <c r="L216" s="19" t="s">
        <v>548</v>
      </c>
      <c r="M216" s="24">
        <v>100000</v>
      </c>
      <c r="N216" s="22" t="s">
        <v>574</v>
      </c>
      <c r="O216" s="6"/>
      <c r="P216" s="6"/>
      <c r="Q216" s="6"/>
    </row>
    <row r="217" spans="1:21" ht="12.75" customHeight="1" x14ac:dyDescent="0.3">
      <c r="A217" s="6"/>
      <c r="B217" s="19">
        <v>214</v>
      </c>
      <c r="C217" s="20" t="str">
        <f>NamaPelanggan!C216</f>
        <v>AMP-214</v>
      </c>
      <c r="D217" s="21" t="str">
        <f>NamaPelanggan!D216</f>
        <v>FADIL</v>
      </c>
      <c r="E217" s="21" t="str">
        <f>NamaPelanggan!E216</f>
        <v>AMPELGADING</v>
      </c>
      <c r="F217" s="23">
        <f>NamaPelanggan!H216</f>
        <v>100000</v>
      </c>
      <c r="G217" s="24"/>
      <c r="H217" s="24"/>
      <c r="I217" s="24">
        <v>100000</v>
      </c>
      <c r="J217" s="24"/>
      <c r="K217" s="24"/>
      <c r="L217" s="19" t="str">
        <f t="shared" ref="L217:L277" si="8">IF(SUM(G217:K217)&gt;0,"LUNAS","BELUM LUNAS")</f>
        <v>LUNAS</v>
      </c>
      <c r="M217" s="24"/>
      <c r="N217" s="22"/>
      <c r="O217" s="6"/>
      <c r="P217" s="6"/>
      <c r="Q217" s="6"/>
    </row>
    <row r="218" spans="1:21" ht="12.75" customHeight="1" x14ac:dyDescent="0.3">
      <c r="A218" s="6"/>
      <c r="B218" s="19">
        <v>215</v>
      </c>
      <c r="C218" s="20" t="str">
        <f>NamaPelanggan!C217</f>
        <v>AMP-215</v>
      </c>
      <c r="D218" s="21" t="str">
        <f>NamaPelanggan!D217</f>
        <v>FAUJI</v>
      </c>
      <c r="E218" s="21" t="str">
        <f>NamaPelanggan!E217</f>
        <v>AMPELGADING</v>
      </c>
      <c r="F218" s="23">
        <f>NamaPelanggan!H217</f>
        <v>100000</v>
      </c>
      <c r="G218" s="24"/>
      <c r="H218" s="24"/>
      <c r="I218" s="24">
        <v>100000</v>
      </c>
      <c r="J218" s="24"/>
      <c r="K218" s="24"/>
      <c r="L218" s="19" t="str">
        <f t="shared" si="8"/>
        <v>LUNAS</v>
      </c>
      <c r="M218" s="24"/>
      <c r="N218" s="22"/>
      <c r="O218" s="6"/>
      <c r="P218" s="6"/>
      <c r="Q218" s="6"/>
    </row>
    <row r="219" spans="1:21" ht="12.75" customHeight="1" x14ac:dyDescent="0.3">
      <c r="A219" s="6"/>
      <c r="B219" s="19">
        <v>216</v>
      </c>
      <c r="C219" s="20" t="str">
        <f>NamaPelanggan!C218</f>
        <v>AMP-216</v>
      </c>
      <c r="D219" s="21" t="str">
        <f>NamaPelanggan!D218</f>
        <v>GIK@KAMBING</v>
      </c>
      <c r="E219" s="21" t="str">
        <f>NamaPelanggan!E218</f>
        <v>AMPELGADING</v>
      </c>
      <c r="F219" s="23">
        <f>NamaPelanggan!H218</f>
        <v>100000</v>
      </c>
      <c r="G219" s="24"/>
      <c r="H219" s="24"/>
      <c r="I219" s="24">
        <v>100000</v>
      </c>
      <c r="J219" s="24"/>
      <c r="K219" s="24"/>
      <c r="L219" s="19" t="str">
        <f t="shared" si="8"/>
        <v>LUNAS</v>
      </c>
      <c r="M219" s="24"/>
      <c r="N219" s="22"/>
      <c r="O219" s="6"/>
      <c r="P219" s="6"/>
      <c r="Q219" s="6"/>
    </row>
    <row r="220" spans="1:21" ht="12.75" customHeight="1" x14ac:dyDescent="0.3">
      <c r="A220" s="6"/>
      <c r="B220" s="19">
        <v>217</v>
      </c>
      <c r="C220" s="20" t="str">
        <f>NamaPelanggan!C219</f>
        <v>AMP-217</v>
      </c>
      <c r="D220" s="21" t="str">
        <f>NamaPelanggan!D219</f>
        <v>HERI@SOUND</v>
      </c>
      <c r="E220" s="21" t="str">
        <f>NamaPelanggan!E219</f>
        <v>AMPELGADING</v>
      </c>
      <c r="F220" s="23">
        <f>NamaPelanggan!H219</f>
        <v>100000</v>
      </c>
      <c r="G220" s="24"/>
      <c r="H220" s="24"/>
      <c r="I220" s="24">
        <v>200000</v>
      </c>
      <c r="J220" s="24"/>
      <c r="K220" s="24"/>
      <c r="L220" s="19" t="s">
        <v>550</v>
      </c>
      <c r="M220" s="24"/>
      <c r="N220" s="22"/>
      <c r="O220" s="6"/>
      <c r="P220" s="6"/>
      <c r="Q220" s="6"/>
    </row>
    <row r="221" spans="1:21" ht="12.75" customHeight="1" x14ac:dyDescent="0.3">
      <c r="A221" s="6"/>
      <c r="B221" s="19">
        <v>218</v>
      </c>
      <c r="C221" s="20" t="str">
        <f>NamaPelanggan!C220</f>
        <v>AMP-218</v>
      </c>
      <c r="D221" s="21" t="str">
        <f>NamaPelanggan!D220</f>
        <v>HUDA</v>
      </c>
      <c r="E221" s="21" t="str">
        <f>NamaPelanggan!E220</f>
        <v>AMPELGADING</v>
      </c>
      <c r="F221" s="23">
        <f>NamaPelanggan!H220</f>
        <v>100000</v>
      </c>
      <c r="G221" s="24"/>
      <c r="H221" s="24"/>
      <c r="I221" s="24">
        <v>200000</v>
      </c>
      <c r="J221" s="24"/>
      <c r="K221" s="24"/>
      <c r="L221" s="19" t="s">
        <v>550</v>
      </c>
      <c r="M221" s="24"/>
      <c r="N221" s="22"/>
      <c r="O221" s="6"/>
      <c r="P221" s="6"/>
      <c r="Q221" s="6"/>
    </row>
    <row r="222" spans="1:21" ht="12.75" customHeight="1" x14ac:dyDescent="0.3">
      <c r="A222" s="6"/>
      <c r="B222" s="19">
        <v>219</v>
      </c>
      <c r="C222" s="20" t="str">
        <f>NamaPelanggan!C221</f>
        <v>AMP-219</v>
      </c>
      <c r="D222" s="21" t="str">
        <f>NamaPelanggan!D221</f>
        <v>edi sutris</v>
      </c>
      <c r="E222" s="21" t="str">
        <f>NamaPelanggan!E221</f>
        <v>AMPELGADING / IDINAN</v>
      </c>
      <c r="F222" s="23">
        <f>NamaPelanggan!H221</f>
        <v>100000</v>
      </c>
      <c r="G222" s="24"/>
      <c r="H222" s="24"/>
      <c r="I222" s="24">
        <v>300000</v>
      </c>
      <c r="J222" s="24"/>
      <c r="K222" s="24"/>
      <c r="L222" s="19" t="s">
        <v>550</v>
      </c>
      <c r="M222" s="24"/>
      <c r="N222" s="22"/>
      <c r="O222" s="6"/>
      <c r="P222" s="6"/>
      <c r="Q222" s="6"/>
    </row>
    <row r="223" spans="1:21" ht="12.75" customHeight="1" x14ac:dyDescent="0.3">
      <c r="A223" s="6"/>
      <c r="B223" s="19">
        <v>220</v>
      </c>
      <c r="C223" s="20" t="str">
        <f>NamaPelanggan!C222</f>
        <v>AMP-220</v>
      </c>
      <c r="D223" s="21" t="str">
        <f>NamaPelanggan!D222</f>
        <v>IKAA</v>
      </c>
      <c r="E223" s="21" t="str">
        <f>NamaPelanggan!E222</f>
        <v>AMPELGADING</v>
      </c>
      <c r="F223" s="23">
        <f>NamaPelanggan!H222</f>
        <v>100000</v>
      </c>
      <c r="G223" s="24"/>
      <c r="H223" s="24"/>
      <c r="I223" s="24">
        <v>100000</v>
      </c>
      <c r="J223" s="24"/>
      <c r="K223" s="24"/>
      <c r="L223" s="19" t="str">
        <f t="shared" si="8"/>
        <v>LUNAS</v>
      </c>
      <c r="M223" s="24"/>
      <c r="N223" s="22"/>
      <c r="O223" s="6"/>
      <c r="P223" s="6"/>
      <c r="Q223" s="6"/>
    </row>
    <row r="224" spans="1:21" ht="12.75" customHeight="1" x14ac:dyDescent="0.3">
      <c r="A224" s="6"/>
      <c r="B224" s="19">
        <v>221</v>
      </c>
      <c r="C224" s="20" t="str">
        <f>NamaPelanggan!C223</f>
        <v>AMP-221</v>
      </c>
      <c r="D224" s="21" t="str">
        <f>NamaPelanggan!D223</f>
        <v>IKROM</v>
      </c>
      <c r="E224" s="21" t="str">
        <f>NamaPelanggan!E223</f>
        <v>AMPELGADING</v>
      </c>
      <c r="F224" s="23">
        <f>NamaPelanggan!H223</f>
        <v>100000</v>
      </c>
      <c r="G224" s="24"/>
      <c r="H224" s="24"/>
      <c r="I224" s="24">
        <v>100000</v>
      </c>
      <c r="J224" s="24"/>
      <c r="K224" s="24"/>
      <c r="L224" s="19" t="str">
        <f t="shared" si="8"/>
        <v>LUNAS</v>
      </c>
      <c r="M224" s="24"/>
      <c r="N224" s="22"/>
      <c r="O224" s="6"/>
      <c r="P224" s="6"/>
      <c r="Q224" s="6"/>
    </row>
    <row r="225" spans="1:17" ht="12.75" customHeight="1" x14ac:dyDescent="0.3">
      <c r="A225" s="6"/>
      <c r="B225" s="19">
        <v>222</v>
      </c>
      <c r="C225" s="20" t="str">
        <f>NamaPelanggan!C224</f>
        <v>AMP-222</v>
      </c>
      <c r="D225" s="21" t="str">
        <f>NamaPelanggan!D224</f>
        <v>IPUNK</v>
      </c>
      <c r="E225" s="21" t="str">
        <f>NamaPelanggan!E224</f>
        <v>AMPELGADING</v>
      </c>
      <c r="F225" s="23">
        <f>NamaPelanggan!H224</f>
        <v>100000</v>
      </c>
      <c r="G225" s="24"/>
      <c r="H225" s="24"/>
      <c r="I225" s="24"/>
      <c r="J225" s="24"/>
      <c r="K225" s="24"/>
      <c r="L225" s="19" t="s">
        <v>548</v>
      </c>
      <c r="M225" s="24">
        <v>100000</v>
      </c>
      <c r="N225" s="22" t="s">
        <v>574</v>
      </c>
      <c r="O225" s="6"/>
      <c r="P225" s="6"/>
      <c r="Q225" s="6"/>
    </row>
    <row r="226" spans="1:17" ht="12.75" customHeight="1" x14ac:dyDescent="0.3">
      <c r="A226" s="6"/>
      <c r="B226" s="19">
        <v>223</v>
      </c>
      <c r="C226" s="20" t="str">
        <f>NamaPelanggan!C225</f>
        <v>AMP-223</v>
      </c>
      <c r="D226" s="21" t="str">
        <f>NamaPelanggan!D225</f>
        <v>ISAH</v>
      </c>
      <c r="E226" s="21" t="str">
        <f>NamaPelanggan!E225</f>
        <v>AMPELGADING</v>
      </c>
      <c r="F226" s="23">
        <f>NamaPelanggan!H225</f>
        <v>100000</v>
      </c>
      <c r="G226" s="24"/>
      <c r="H226" s="24"/>
      <c r="I226" s="24">
        <v>100000</v>
      </c>
      <c r="J226" s="24"/>
      <c r="K226" s="24"/>
      <c r="L226" s="19" t="str">
        <f t="shared" si="8"/>
        <v>LUNAS</v>
      </c>
      <c r="M226" s="24"/>
      <c r="N226" s="22"/>
      <c r="O226" s="6"/>
      <c r="P226" s="6"/>
      <c r="Q226" s="6"/>
    </row>
    <row r="227" spans="1:17" ht="12.75" customHeight="1" x14ac:dyDescent="0.3">
      <c r="A227" s="6"/>
      <c r="B227" s="19">
        <v>224</v>
      </c>
      <c r="C227" s="20" t="str">
        <f>NamaPelanggan!C226</f>
        <v>AMP-224</v>
      </c>
      <c r="D227" s="21" t="str">
        <f>NamaPelanggan!D226</f>
        <v>JEN</v>
      </c>
      <c r="E227" s="21" t="str">
        <f>NamaPelanggan!E226</f>
        <v>AMPELGADING</v>
      </c>
      <c r="F227" s="23">
        <f>NamaPelanggan!H226</f>
        <v>100000</v>
      </c>
      <c r="G227" s="24"/>
      <c r="H227" s="24"/>
      <c r="I227" s="24">
        <v>100000</v>
      </c>
      <c r="J227" s="24"/>
      <c r="K227" s="24"/>
      <c r="L227" s="19" t="s">
        <v>548</v>
      </c>
      <c r="M227" s="24">
        <v>100000</v>
      </c>
      <c r="N227" s="22" t="s">
        <v>574</v>
      </c>
      <c r="O227" s="6"/>
      <c r="P227" s="6"/>
      <c r="Q227" s="6"/>
    </row>
    <row r="228" spans="1:17" ht="12.75" customHeight="1" x14ac:dyDescent="0.3">
      <c r="A228" s="6"/>
      <c r="B228" s="19">
        <v>225</v>
      </c>
      <c r="C228" s="20" t="str">
        <f>NamaPelanggan!C227</f>
        <v>AMP-225</v>
      </c>
      <c r="D228" s="21" t="str">
        <f>NamaPelanggan!D227</f>
        <v>KASUN / raihan</v>
      </c>
      <c r="E228" s="21" t="str">
        <f>NamaPelanggan!E227</f>
        <v>AMPELGADING</v>
      </c>
      <c r="F228" s="23">
        <f>NamaPelanggan!H227</f>
        <v>100000</v>
      </c>
      <c r="G228" s="24"/>
      <c r="H228" s="24"/>
      <c r="I228" s="24">
        <v>100000</v>
      </c>
      <c r="J228" s="24"/>
      <c r="K228" s="24"/>
      <c r="L228" s="19" t="str">
        <f t="shared" si="8"/>
        <v>LUNAS</v>
      </c>
      <c r="M228" s="24"/>
      <c r="N228" s="22"/>
      <c r="O228" s="6"/>
      <c r="P228" s="6"/>
      <c r="Q228" s="6"/>
    </row>
    <row r="229" spans="1:17" ht="12.75" customHeight="1" x14ac:dyDescent="0.3">
      <c r="A229" s="6"/>
      <c r="B229" s="19">
        <v>226</v>
      </c>
      <c r="C229" s="20" t="str">
        <f>NamaPelanggan!C228</f>
        <v>AMP-226</v>
      </c>
      <c r="D229" s="21" t="str">
        <f>NamaPelanggan!D228</f>
        <v>KORIK</v>
      </c>
      <c r="E229" s="21" t="str">
        <f>NamaPelanggan!E228</f>
        <v>AMPELGADING</v>
      </c>
      <c r="F229" s="23">
        <f>NamaPelanggan!H228</f>
        <v>100000</v>
      </c>
      <c r="G229" s="24"/>
      <c r="H229" s="24"/>
      <c r="I229" s="24">
        <v>100000</v>
      </c>
      <c r="J229" s="24"/>
      <c r="K229" s="24"/>
      <c r="L229" s="19" t="str">
        <f t="shared" si="8"/>
        <v>LUNAS</v>
      </c>
      <c r="M229" s="24"/>
      <c r="N229" s="22"/>
      <c r="O229" s="6"/>
      <c r="P229" s="6"/>
      <c r="Q229" s="6"/>
    </row>
    <row r="230" spans="1:17" ht="12.75" customHeight="1" x14ac:dyDescent="0.3">
      <c r="A230" s="6"/>
      <c r="B230" s="19">
        <v>227</v>
      </c>
      <c r="C230" s="20" t="str">
        <f>NamaPelanggan!C229</f>
        <v>AMP-227</v>
      </c>
      <c r="D230" s="21" t="str">
        <f>NamaPelanggan!D229</f>
        <v>LENI</v>
      </c>
      <c r="E230" s="21" t="str">
        <f>NamaPelanggan!E229</f>
        <v>AMPELGADING</v>
      </c>
      <c r="F230" s="23">
        <f>NamaPelanggan!H229</f>
        <v>100000</v>
      </c>
      <c r="G230" s="24"/>
      <c r="H230" s="24"/>
      <c r="I230" s="24">
        <v>100000</v>
      </c>
      <c r="J230" s="24"/>
      <c r="K230" s="24"/>
      <c r="L230" s="19" t="str">
        <f t="shared" si="8"/>
        <v>LUNAS</v>
      </c>
      <c r="M230" s="24"/>
      <c r="N230" s="22"/>
      <c r="O230" s="6"/>
      <c r="P230" s="6"/>
      <c r="Q230" s="6"/>
    </row>
    <row r="231" spans="1:17" ht="12.75" customHeight="1" x14ac:dyDescent="0.3">
      <c r="A231" s="6"/>
      <c r="B231" s="19">
        <v>228</v>
      </c>
      <c r="C231" s="20" t="str">
        <f>NamaPelanggan!C230</f>
        <v>AMP-228</v>
      </c>
      <c r="D231" s="21" t="str">
        <f>NamaPelanggan!D230</f>
        <v>MISNUR / IYAN</v>
      </c>
      <c r="E231" s="21" t="str">
        <f>NamaPelanggan!E230</f>
        <v>AMPELGADING</v>
      </c>
      <c r="F231" s="23">
        <f>NamaPelanggan!H230</f>
        <v>100000</v>
      </c>
      <c r="G231" s="24"/>
      <c r="H231" s="24"/>
      <c r="I231" s="24"/>
      <c r="J231" s="24"/>
      <c r="K231" s="24"/>
      <c r="L231" s="19" t="str">
        <f t="shared" si="8"/>
        <v>BELUM LUNAS</v>
      </c>
      <c r="M231" s="24">
        <v>100000</v>
      </c>
      <c r="N231" s="22" t="s">
        <v>574</v>
      </c>
      <c r="O231" s="6"/>
      <c r="P231" s="6"/>
      <c r="Q231" s="6"/>
    </row>
    <row r="232" spans="1:17" ht="12.75" customHeight="1" x14ac:dyDescent="0.3">
      <c r="A232" s="6"/>
      <c r="B232" s="19">
        <v>229</v>
      </c>
      <c r="C232" s="20" t="str">
        <f>NamaPelanggan!C231</f>
        <v>AMP-229</v>
      </c>
      <c r="D232" s="21" t="str">
        <f>NamaPelanggan!D231</f>
        <v>P.BONDAN</v>
      </c>
      <c r="E232" s="21" t="str">
        <f>NamaPelanggan!E231</f>
        <v>AMPELGADING</v>
      </c>
      <c r="F232" s="23">
        <f>NamaPelanggan!H231</f>
        <v>100000</v>
      </c>
      <c r="G232" s="24"/>
      <c r="H232" s="24"/>
      <c r="I232" s="24">
        <v>100000</v>
      </c>
      <c r="J232" s="24"/>
      <c r="K232" s="24"/>
      <c r="L232" s="19" t="str">
        <f t="shared" si="8"/>
        <v>LUNAS</v>
      </c>
      <c r="M232" s="24"/>
      <c r="N232" s="22"/>
      <c r="O232" s="6"/>
      <c r="P232" s="6"/>
      <c r="Q232" s="6"/>
    </row>
    <row r="233" spans="1:17" ht="12.75" customHeight="1" x14ac:dyDescent="0.3">
      <c r="A233" s="6"/>
      <c r="B233" s="19">
        <v>230</v>
      </c>
      <c r="C233" s="20" t="str">
        <f>NamaPelanggan!C232</f>
        <v>AMP-230</v>
      </c>
      <c r="D233" s="21" t="str">
        <f>NamaPelanggan!D232</f>
        <v>P.RIS@AYUK</v>
      </c>
      <c r="E233" s="21" t="str">
        <f>NamaPelanggan!E232</f>
        <v>AMPELGADING</v>
      </c>
      <c r="F233" s="23">
        <f>NamaPelanggan!H232</f>
        <v>100000</v>
      </c>
      <c r="G233" s="24"/>
      <c r="H233" s="24"/>
      <c r="I233" s="24"/>
      <c r="J233" s="24"/>
      <c r="K233" s="24"/>
      <c r="L233" s="19" t="str">
        <f t="shared" si="8"/>
        <v>BELUM LUNAS</v>
      </c>
      <c r="M233" s="24">
        <v>100000</v>
      </c>
      <c r="N233" s="22" t="s">
        <v>574</v>
      </c>
      <c r="O233" s="6"/>
      <c r="P233" s="6"/>
      <c r="Q233" s="6"/>
    </row>
    <row r="234" spans="1:17" ht="12.75" customHeight="1" x14ac:dyDescent="0.3">
      <c r="A234" s="6"/>
      <c r="B234" s="19">
        <v>231</v>
      </c>
      <c r="C234" s="20" t="str">
        <f>NamaPelanggan!C233</f>
        <v>AMP-231</v>
      </c>
      <c r="D234" s="21" t="str">
        <f>NamaPelanggan!D233</f>
        <v>PAAT@LATIF</v>
      </c>
      <c r="E234" s="21" t="str">
        <f>NamaPelanggan!E233</f>
        <v>AMPELGADING</v>
      </c>
      <c r="F234" s="23">
        <f>NamaPelanggan!H233</f>
        <v>100000</v>
      </c>
      <c r="G234" s="24"/>
      <c r="H234" s="24"/>
      <c r="I234" s="24">
        <v>100000</v>
      </c>
      <c r="J234" s="24"/>
      <c r="K234" s="24"/>
      <c r="L234" s="19" t="str">
        <f t="shared" si="8"/>
        <v>LUNAS</v>
      </c>
      <c r="M234" s="24"/>
      <c r="N234" s="22"/>
      <c r="O234" s="6"/>
      <c r="P234" s="6"/>
      <c r="Q234" s="6"/>
    </row>
    <row r="235" spans="1:17" ht="12.75" customHeight="1" x14ac:dyDescent="0.3">
      <c r="A235" s="6"/>
      <c r="B235" s="19">
        <v>232</v>
      </c>
      <c r="C235" s="20" t="str">
        <f>NamaPelanggan!C234</f>
        <v>AMP-232</v>
      </c>
      <c r="D235" s="21" t="str">
        <f>NamaPelanggan!D234</f>
        <v>PAK.IR</v>
      </c>
      <c r="E235" s="21" t="str">
        <f>NamaPelanggan!E234</f>
        <v>AMPELGADING</v>
      </c>
      <c r="F235" s="23">
        <f>NamaPelanggan!H234</f>
        <v>100000</v>
      </c>
      <c r="G235" s="24"/>
      <c r="H235" s="24"/>
      <c r="I235" s="24">
        <v>100000</v>
      </c>
      <c r="J235" s="24"/>
      <c r="K235" s="24"/>
      <c r="L235" s="19" t="str">
        <f t="shared" si="8"/>
        <v>LUNAS</v>
      </c>
      <c r="M235" s="24"/>
      <c r="N235" s="22"/>
      <c r="O235" s="6"/>
      <c r="P235" s="6"/>
      <c r="Q235" s="6"/>
    </row>
    <row r="236" spans="1:17" ht="12.75" customHeight="1" x14ac:dyDescent="0.3">
      <c r="A236" s="6"/>
      <c r="B236" s="19">
        <v>233</v>
      </c>
      <c r="C236" s="20" t="str">
        <f>NamaPelanggan!C235</f>
        <v>AMP-233</v>
      </c>
      <c r="D236" s="21" t="str">
        <f>NamaPelanggan!D235</f>
        <v>RAMA</v>
      </c>
      <c r="E236" s="21" t="str">
        <f>NamaPelanggan!E235</f>
        <v>AMPELGADING</v>
      </c>
      <c r="F236" s="23">
        <f>NamaPelanggan!H235</f>
        <v>100000</v>
      </c>
      <c r="G236" s="24"/>
      <c r="H236" s="24"/>
      <c r="I236" s="24">
        <v>100000</v>
      </c>
      <c r="J236" s="24"/>
      <c r="K236" s="24"/>
      <c r="L236" s="19" t="s">
        <v>548</v>
      </c>
      <c r="M236" s="24">
        <v>100000</v>
      </c>
      <c r="N236" s="22" t="s">
        <v>574</v>
      </c>
      <c r="O236" s="6"/>
      <c r="P236" s="6"/>
      <c r="Q236" s="6"/>
    </row>
    <row r="237" spans="1:17" ht="12.75" customHeight="1" x14ac:dyDescent="0.3">
      <c r="A237" s="6"/>
      <c r="B237" s="19">
        <v>234</v>
      </c>
      <c r="C237" s="20" t="str">
        <f>NamaPelanggan!C236</f>
        <v>AMP-234</v>
      </c>
      <c r="D237" s="21" t="str">
        <f>NamaPelanggan!D236</f>
        <v>ROBET</v>
      </c>
      <c r="E237" s="21" t="str">
        <f>NamaPelanggan!E236</f>
        <v>AMPELGADING</v>
      </c>
      <c r="F237" s="23">
        <f>NamaPelanggan!H236</f>
        <v>100000</v>
      </c>
      <c r="G237" s="24"/>
      <c r="H237" s="24"/>
      <c r="I237" s="24">
        <v>100000</v>
      </c>
      <c r="J237" s="24"/>
      <c r="K237" s="24"/>
      <c r="L237" s="19" t="str">
        <f t="shared" si="8"/>
        <v>LUNAS</v>
      </c>
      <c r="M237" s="24"/>
      <c r="N237" s="22"/>
      <c r="O237" s="6"/>
      <c r="P237" s="6"/>
      <c r="Q237" s="6"/>
    </row>
    <row r="238" spans="1:17" ht="12.75" customHeight="1" x14ac:dyDescent="0.3">
      <c r="A238" s="6"/>
      <c r="B238" s="19">
        <v>235</v>
      </c>
      <c r="C238" s="20" t="str">
        <f>NamaPelanggan!C237</f>
        <v>AMP-235</v>
      </c>
      <c r="D238" s="21" t="str">
        <f>NamaPelanggan!D237</f>
        <v>ROH felis</v>
      </c>
      <c r="E238" s="21" t="str">
        <f>NamaPelanggan!E237</f>
        <v>AMPELGADING</v>
      </c>
      <c r="F238" s="23">
        <f>NamaPelanggan!H237</f>
        <v>100000</v>
      </c>
      <c r="G238" s="24"/>
      <c r="H238" s="24"/>
      <c r="I238" s="24">
        <v>100000</v>
      </c>
      <c r="J238" s="24"/>
      <c r="K238" s="24"/>
      <c r="L238" s="19" t="str">
        <f t="shared" si="8"/>
        <v>LUNAS</v>
      </c>
      <c r="M238" s="24"/>
      <c r="N238" s="22"/>
      <c r="O238" s="6"/>
      <c r="P238" s="6"/>
      <c r="Q238" s="6"/>
    </row>
    <row r="239" spans="1:17" ht="12.75" customHeight="1" x14ac:dyDescent="0.3">
      <c r="A239" s="6"/>
      <c r="B239" s="19">
        <v>236</v>
      </c>
      <c r="C239" s="20" t="str">
        <f>NamaPelanggan!C238</f>
        <v>AMP-236</v>
      </c>
      <c r="D239" s="21" t="str">
        <f>NamaPelanggan!D238</f>
        <v>ROHIM</v>
      </c>
      <c r="E239" s="21" t="str">
        <f>NamaPelanggan!E238</f>
        <v>AMPELGADING</v>
      </c>
      <c r="F239" s="23">
        <f>NamaPelanggan!H238</f>
        <v>100000</v>
      </c>
      <c r="G239" s="24"/>
      <c r="H239" s="24"/>
      <c r="I239" s="24">
        <v>100000</v>
      </c>
      <c r="J239" s="24"/>
      <c r="K239" s="24"/>
      <c r="L239" s="19" t="str">
        <f t="shared" si="8"/>
        <v>LUNAS</v>
      </c>
      <c r="M239" s="24"/>
      <c r="N239" s="22"/>
      <c r="O239" s="6"/>
      <c r="P239" s="6"/>
      <c r="Q239" s="6"/>
    </row>
    <row r="240" spans="1:17" ht="12.75" customHeight="1" x14ac:dyDescent="0.3">
      <c r="A240" s="6"/>
      <c r="B240" s="19">
        <v>237</v>
      </c>
      <c r="C240" s="20" t="str">
        <f>NamaPelanggan!C239</f>
        <v>AMP-237</v>
      </c>
      <c r="D240" s="21" t="str">
        <f>NamaPelanggan!D239</f>
        <v>ROHIMM</v>
      </c>
      <c r="E240" s="21" t="str">
        <f>NamaPelanggan!E239</f>
        <v>AMPELGADING</v>
      </c>
      <c r="F240" s="23">
        <f>NamaPelanggan!H239</f>
        <v>100000</v>
      </c>
      <c r="G240" s="24"/>
      <c r="H240" s="24"/>
      <c r="I240" s="24">
        <v>100000</v>
      </c>
      <c r="J240" s="24"/>
      <c r="K240" s="24"/>
      <c r="L240" s="19" t="str">
        <f t="shared" si="8"/>
        <v>LUNAS</v>
      </c>
      <c r="M240" s="24"/>
      <c r="N240" s="22"/>
      <c r="O240" s="6"/>
      <c r="P240" s="6"/>
      <c r="Q240" s="6"/>
    </row>
    <row r="241" spans="1:17" ht="12.75" customHeight="1" x14ac:dyDescent="0.3">
      <c r="A241" s="6"/>
      <c r="B241" s="19">
        <v>238</v>
      </c>
      <c r="C241" s="20" t="str">
        <f>NamaPelanggan!C240</f>
        <v>AMP-238</v>
      </c>
      <c r="D241" s="21" t="str">
        <f>NamaPelanggan!D240</f>
        <v>HAIRUL</v>
      </c>
      <c r="E241" s="21" t="str">
        <f>NamaPelanggan!E240</f>
        <v>AMPELGADING</v>
      </c>
      <c r="F241" s="23">
        <f>NamaPelanggan!H240</f>
        <v>100000</v>
      </c>
      <c r="G241" s="24"/>
      <c r="H241" s="24"/>
      <c r="I241" s="24">
        <v>100000</v>
      </c>
      <c r="J241" s="24"/>
      <c r="K241" s="24"/>
      <c r="L241" s="19" t="str">
        <f t="shared" si="8"/>
        <v>LUNAS</v>
      </c>
      <c r="M241" s="24"/>
      <c r="N241" s="22"/>
      <c r="O241" s="6"/>
      <c r="P241" s="6"/>
      <c r="Q241" s="6"/>
    </row>
    <row r="242" spans="1:17" ht="12.75" customHeight="1" x14ac:dyDescent="0.3">
      <c r="A242" s="6"/>
      <c r="B242" s="19">
        <v>239</v>
      </c>
      <c r="C242" s="20" t="str">
        <f>NamaPelanggan!C241</f>
        <v>AMP-239</v>
      </c>
      <c r="D242" s="21" t="str">
        <f>NamaPelanggan!D241</f>
        <v>SADI</v>
      </c>
      <c r="E242" s="21" t="str">
        <f>NamaPelanggan!E241</f>
        <v>AMPELGADING</v>
      </c>
      <c r="F242" s="23">
        <f>NamaPelanggan!H241</f>
        <v>100000</v>
      </c>
      <c r="G242" s="24"/>
      <c r="H242" s="24"/>
      <c r="I242" s="24">
        <v>100000</v>
      </c>
      <c r="J242" s="24"/>
      <c r="K242" s="24"/>
      <c r="L242" s="19" t="str">
        <f t="shared" si="8"/>
        <v>LUNAS</v>
      </c>
      <c r="M242" s="24"/>
      <c r="N242" s="22"/>
      <c r="O242" s="6"/>
      <c r="P242" s="6"/>
      <c r="Q242" s="6"/>
    </row>
    <row r="243" spans="1:17" ht="12.75" customHeight="1" x14ac:dyDescent="0.3">
      <c r="A243" s="6"/>
      <c r="B243" s="19">
        <v>240</v>
      </c>
      <c r="C243" s="20" t="str">
        <f>NamaPelanggan!C242</f>
        <v>AMP-240</v>
      </c>
      <c r="D243" s="21" t="str">
        <f>NamaPelanggan!D242</f>
        <v>SINDI</v>
      </c>
      <c r="E243" s="21" t="str">
        <f>NamaPelanggan!E242</f>
        <v>AMPELGADING</v>
      </c>
      <c r="F243" s="23">
        <f>NamaPelanggan!H242</f>
        <v>100000</v>
      </c>
      <c r="G243" s="24"/>
      <c r="H243" s="24"/>
      <c r="I243" s="24">
        <v>100000</v>
      </c>
      <c r="J243" s="24"/>
      <c r="K243" s="24"/>
      <c r="L243" s="19" t="str">
        <f t="shared" si="8"/>
        <v>LUNAS</v>
      </c>
      <c r="M243" s="24"/>
      <c r="N243" s="22"/>
      <c r="O243" s="6"/>
      <c r="P243" s="6"/>
      <c r="Q243" s="6"/>
    </row>
    <row r="244" spans="1:17" ht="12.75" customHeight="1" x14ac:dyDescent="0.3">
      <c r="A244" s="6"/>
      <c r="B244" s="19">
        <v>241</v>
      </c>
      <c r="C244" s="20" t="str">
        <f>NamaPelanggan!C243</f>
        <v>AMP-241</v>
      </c>
      <c r="D244" s="21" t="str">
        <f>NamaPelanggan!D243</f>
        <v>TIAR</v>
      </c>
      <c r="E244" s="21" t="str">
        <f>NamaPelanggan!E243</f>
        <v>AMPELGADING</v>
      </c>
      <c r="F244" s="23">
        <f>NamaPelanggan!H243</f>
        <v>100000</v>
      </c>
      <c r="G244" s="24"/>
      <c r="H244" s="24"/>
      <c r="I244" s="24">
        <v>100000</v>
      </c>
      <c r="J244" s="24"/>
      <c r="K244" s="24"/>
      <c r="L244" s="19" t="str">
        <f t="shared" si="8"/>
        <v>LUNAS</v>
      </c>
      <c r="M244" s="24"/>
      <c r="N244" s="22"/>
      <c r="O244" s="6"/>
      <c r="P244" s="6"/>
      <c r="Q244" s="6"/>
    </row>
    <row r="245" spans="1:17" ht="12.75" customHeight="1" x14ac:dyDescent="0.3">
      <c r="A245" s="6"/>
      <c r="B245" s="19">
        <v>242</v>
      </c>
      <c r="C245" s="20" t="str">
        <f>NamaPelanggan!C244</f>
        <v>AMP-242</v>
      </c>
      <c r="D245" s="21" t="str">
        <f>NamaPelanggan!D244</f>
        <v>TO</v>
      </c>
      <c r="E245" s="21" t="str">
        <f>NamaPelanggan!E244</f>
        <v>AMPELGADING</v>
      </c>
      <c r="F245" s="23">
        <f>NamaPelanggan!H244</f>
        <v>100000</v>
      </c>
      <c r="G245" s="24"/>
      <c r="H245" s="24"/>
      <c r="I245" s="24"/>
      <c r="J245" s="24"/>
      <c r="K245" s="24"/>
      <c r="L245" s="19" t="str">
        <f t="shared" si="8"/>
        <v>BELUM LUNAS</v>
      </c>
      <c r="M245" s="24">
        <v>100000</v>
      </c>
      <c r="N245" s="22" t="s">
        <v>574</v>
      </c>
      <c r="O245" s="6"/>
      <c r="P245" s="6"/>
      <c r="Q245" s="6"/>
    </row>
    <row r="246" spans="1:17" ht="12.75" customHeight="1" x14ac:dyDescent="0.3">
      <c r="A246" s="6"/>
      <c r="B246" s="19">
        <v>243</v>
      </c>
      <c r="C246" s="20" t="str">
        <f>NamaPelanggan!C245</f>
        <v>AMP-243</v>
      </c>
      <c r="D246" s="21" t="str">
        <f>NamaPelanggan!D245</f>
        <v>TRISPUTRI</v>
      </c>
      <c r="E246" s="21" t="str">
        <f>NamaPelanggan!E245</f>
        <v>AMPELGADING</v>
      </c>
      <c r="F246" s="23">
        <f>NamaPelanggan!H245</f>
        <v>100000</v>
      </c>
      <c r="G246" s="24"/>
      <c r="H246" s="24"/>
      <c r="I246" s="24">
        <v>100000</v>
      </c>
      <c r="J246" s="24"/>
      <c r="K246" s="24"/>
      <c r="L246" s="19" t="str">
        <f t="shared" si="8"/>
        <v>LUNAS</v>
      </c>
      <c r="M246" s="24"/>
      <c r="N246" s="22"/>
      <c r="O246" s="6"/>
      <c r="P246" s="6"/>
      <c r="Q246" s="6"/>
    </row>
    <row r="247" spans="1:17" ht="12.75" customHeight="1" x14ac:dyDescent="0.3">
      <c r="A247" s="6"/>
      <c r="B247" s="19">
        <v>244</v>
      </c>
      <c r="C247" s="20" t="str">
        <f>NamaPelanggan!C246</f>
        <v>AMP-244</v>
      </c>
      <c r="D247" s="21" t="str">
        <f>NamaPelanggan!D246</f>
        <v>WAHIT@MELIJO</v>
      </c>
      <c r="E247" s="21" t="str">
        <f>NamaPelanggan!E246</f>
        <v>AMPELGADING</v>
      </c>
      <c r="F247" s="23">
        <f>NamaPelanggan!H246</f>
        <v>100000</v>
      </c>
      <c r="G247" s="24"/>
      <c r="H247" s="24"/>
      <c r="I247" s="24">
        <v>100000</v>
      </c>
      <c r="J247" s="24"/>
      <c r="K247" s="24"/>
      <c r="L247" s="19" t="str">
        <f t="shared" si="8"/>
        <v>LUNAS</v>
      </c>
      <c r="M247" s="24"/>
      <c r="N247" s="22"/>
      <c r="O247" s="6"/>
      <c r="P247" s="6"/>
      <c r="Q247" s="6"/>
    </row>
    <row r="248" spans="1:17" ht="12.75" customHeight="1" x14ac:dyDescent="0.3">
      <c r="A248" s="6"/>
      <c r="B248" s="19">
        <v>245</v>
      </c>
      <c r="C248" s="20" t="str">
        <f>NamaPelanggan!C247</f>
        <v>AMP-245</v>
      </c>
      <c r="D248" s="21" t="str">
        <f>NamaPelanggan!D247</f>
        <v>sari</v>
      </c>
      <c r="E248" s="21" t="str">
        <f>NamaPelanggan!E247</f>
        <v>AMPELGADING</v>
      </c>
      <c r="F248" s="23">
        <f>NamaPelanggan!H247</f>
        <v>100000</v>
      </c>
      <c r="G248" s="24"/>
      <c r="H248" s="24"/>
      <c r="I248" s="24">
        <v>100000</v>
      </c>
      <c r="J248" s="24"/>
      <c r="K248" s="24"/>
      <c r="L248" s="19" t="str">
        <f t="shared" si="8"/>
        <v>LUNAS</v>
      </c>
      <c r="M248" s="24"/>
      <c r="N248" s="22"/>
      <c r="O248" s="6"/>
      <c r="P248" s="6"/>
      <c r="Q248" s="6"/>
    </row>
    <row r="249" spans="1:17" ht="12.75" customHeight="1" x14ac:dyDescent="0.3">
      <c r="A249" s="6"/>
      <c r="B249" s="19">
        <v>246</v>
      </c>
      <c r="C249" s="20" t="str">
        <f>NamaPelanggan!C248</f>
        <v>AMP-246</v>
      </c>
      <c r="D249" s="21" t="str">
        <f>NamaPelanggan!D248</f>
        <v>amel</v>
      </c>
      <c r="E249" s="21" t="str">
        <f>NamaPelanggan!E248</f>
        <v>AMPELGADING</v>
      </c>
      <c r="F249" s="23">
        <f>NamaPelanggan!H248</f>
        <v>100000</v>
      </c>
      <c r="G249" s="24"/>
      <c r="H249" s="24"/>
      <c r="I249" s="24">
        <v>100000</v>
      </c>
      <c r="J249" s="24"/>
      <c r="K249" s="24"/>
      <c r="L249" s="19" t="str">
        <f t="shared" si="8"/>
        <v>LUNAS</v>
      </c>
      <c r="M249" s="24"/>
      <c r="N249" s="22"/>
      <c r="O249" s="6"/>
      <c r="P249" s="6"/>
      <c r="Q249" s="6"/>
    </row>
    <row r="250" spans="1:17" ht="12.75" customHeight="1" x14ac:dyDescent="0.3">
      <c r="A250" s="6"/>
      <c r="B250" s="19">
        <v>247</v>
      </c>
      <c r="C250" s="20" t="str">
        <f>NamaPelanggan!C249</f>
        <v>AMP-247</v>
      </c>
      <c r="D250" s="21" t="str">
        <f>NamaPelanggan!D249</f>
        <v>asmiati/HABIL</v>
      </c>
      <c r="E250" s="21" t="str">
        <f>NamaPelanggan!E249</f>
        <v>AMPELGADING</v>
      </c>
      <c r="F250" s="23">
        <f>NamaPelanggan!H249</f>
        <v>100000</v>
      </c>
      <c r="G250" s="24"/>
      <c r="H250" s="24"/>
      <c r="I250" s="24">
        <v>100000</v>
      </c>
      <c r="J250" s="24"/>
      <c r="K250" s="24"/>
      <c r="L250" s="19" t="s">
        <v>548</v>
      </c>
      <c r="M250" s="24">
        <v>100000</v>
      </c>
      <c r="N250" s="22" t="s">
        <v>574</v>
      </c>
      <c r="O250" s="6"/>
      <c r="P250" s="6"/>
      <c r="Q250" s="6"/>
    </row>
    <row r="251" spans="1:17" ht="12.75" customHeight="1" x14ac:dyDescent="0.3">
      <c r="A251" s="6"/>
      <c r="B251" s="19">
        <v>248</v>
      </c>
      <c r="C251" s="20" t="str">
        <f>NamaPelanggan!C250</f>
        <v>AMP-248</v>
      </c>
      <c r="D251" s="21" t="str">
        <f>NamaPelanggan!D250</f>
        <v>riska</v>
      </c>
      <c r="E251" s="21" t="str">
        <f>NamaPelanggan!E250</f>
        <v>AMPELGADING</v>
      </c>
      <c r="F251" s="23">
        <f>NamaPelanggan!H250</f>
        <v>100000</v>
      </c>
      <c r="G251" s="24"/>
      <c r="H251" s="24"/>
      <c r="I251" s="24">
        <v>100000</v>
      </c>
      <c r="J251" s="24"/>
      <c r="K251" s="24"/>
      <c r="L251" s="19" t="str">
        <f t="shared" si="8"/>
        <v>LUNAS</v>
      </c>
      <c r="M251" s="24"/>
      <c r="N251" s="22"/>
      <c r="O251" s="6"/>
      <c r="P251" s="6"/>
      <c r="Q251" s="6"/>
    </row>
    <row r="252" spans="1:17" ht="12.75" customHeight="1" x14ac:dyDescent="0.3">
      <c r="A252" s="6"/>
      <c r="B252" s="19">
        <v>249</v>
      </c>
      <c r="C252" s="20" t="str">
        <f>NamaPelanggan!C251</f>
        <v>PSA-249</v>
      </c>
      <c r="D252" s="21" t="str">
        <f>NamaPelanggan!D251</f>
        <v>NOVIAR@ARKA</v>
      </c>
      <c r="E252" s="21" t="str">
        <f>NamaPelanggan!E251</f>
        <v>PSARI</v>
      </c>
      <c r="F252" s="23">
        <f>NamaPelanggan!H251</f>
        <v>100000</v>
      </c>
      <c r="G252" s="24"/>
      <c r="H252" s="24"/>
      <c r="I252" s="24">
        <v>100000</v>
      </c>
      <c r="J252" s="24"/>
      <c r="K252" s="24"/>
      <c r="L252" s="19" t="str">
        <f t="shared" si="8"/>
        <v>LUNAS</v>
      </c>
      <c r="M252" s="24"/>
      <c r="N252" s="22"/>
      <c r="O252" s="6"/>
      <c r="P252" s="6"/>
      <c r="Q252" s="6"/>
    </row>
    <row r="253" spans="1:17" ht="12.75" customHeight="1" x14ac:dyDescent="0.3">
      <c r="A253" s="6"/>
      <c r="B253" s="19">
        <v>250</v>
      </c>
      <c r="C253" s="20" t="str">
        <f>NamaPelanggan!C252</f>
        <v>PSA-250</v>
      </c>
      <c r="D253" s="21" t="str">
        <f>NamaPelanggan!D252</f>
        <v>KEVIN</v>
      </c>
      <c r="E253" s="21" t="str">
        <f>NamaPelanggan!E252</f>
        <v>PSARI</v>
      </c>
      <c r="F253" s="23">
        <f>NamaPelanggan!H252</f>
        <v>100000</v>
      </c>
      <c r="G253" s="24"/>
      <c r="H253" s="24"/>
      <c r="I253" s="24">
        <v>100000</v>
      </c>
      <c r="J253" s="24"/>
      <c r="K253" s="24"/>
      <c r="L253" s="19" t="str">
        <f t="shared" si="8"/>
        <v>LUNAS</v>
      </c>
      <c r="M253" s="24"/>
      <c r="N253" s="22"/>
      <c r="O253" s="6"/>
      <c r="P253" s="6"/>
      <c r="Q253" s="6"/>
    </row>
    <row r="254" spans="1:17" ht="12.75" customHeight="1" x14ac:dyDescent="0.3">
      <c r="A254" s="6"/>
      <c r="B254" s="19">
        <v>251</v>
      </c>
      <c r="C254" s="20" t="str">
        <f>NamaPelanggan!C253</f>
        <v>AMP-251</v>
      </c>
      <c r="D254" s="21" t="str">
        <f>NamaPelanggan!D253</f>
        <v>Arin</v>
      </c>
      <c r="E254" s="21" t="str">
        <f>NamaPelanggan!E253</f>
        <v>ampelgading</v>
      </c>
      <c r="F254" s="23">
        <f>NamaPelanggan!H253</f>
        <v>100000</v>
      </c>
      <c r="G254" s="24"/>
      <c r="H254" s="24"/>
      <c r="I254" s="24">
        <v>100000</v>
      </c>
      <c r="J254" s="24"/>
      <c r="K254" s="24"/>
      <c r="L254" s="19" t="s">
        <v>548</v>
      </c>
      <c r="M254" s="24">
        <v>100000</v>
      </c>
      <c r="N254" s="22" t="s">
        <v>574</v>
      </c>
      <c r="O254" s="6"/>
      <c r="P254" s="6"/>
      <c r="Q254" s="6"/>
    </row>
    <row r="255" spans="1:17" ht="12.75" customHeight="1" x14ac:dyDescent="0.3">
      <c r="A255" s="6"/>
      <c r="B255" s="19">
        <v>252</v>
      </c>
      <c r="C255" s="20" t="str">
        <f>NamaPelanggan!C254</f>
        <v>AMP-252</v>
      </c>
      <c r="D255" s="21" t="str">
        <f>NamaPelanggan!D254</f>
        <v>SUNARNIK</v>
      </c>
      <c r="E255" s="21" t="str">
        <f>NamaPelanggan!E254</f>
        <v>AMPELGADING</v>
      </c>
      <c r="F255" s="23">
        <f>NamaPelanggan!H254</f>
        <v>100000</v>
      </c>
      <c r="G255" s="24"/>
      <c r="H255" s="24"/>
      <c r="I255" s="24">
        <v>100000</v>
      </c>
      <c r="J255" s="24"/>
      <c r="K255" s="24"/>
      <c r="L255" s="19" t="str">
        <f t="shared" si="8"/>
        <v>LUNAS</v>
      </c>
      <c r="M255" s="24"/>
      <c r="N255" s="22"/>
      <c r="O255" s="6"/>
      <c r="P255" s="6"/>
      <c r="Q255" s="6"/>
    </row>
    <row r="256" spans="1:17" ht="12.75" customHeight="1" x14ac:dyDescent="0.3">
      <c r="A256" s="6"/>
      <c r="B256" s="19">
        <v>253</v>
      </c>
      <c r="C256" s="20" t="str">
        <f>NamaPelanggan!C255</f>
        <v>PSA-253</v>
      </c>
      <c r="D256" s="21" t="str">
        <f>NamaPelanggan!D255</f>
        <v>SAHAMO@AZRIL</v>
      </c>
      <c r="E256" s="21" t="str">
        <f>NamaPelanggan!E255</f>
        <v>PSARI</v>
      </c>
      <c r="F256" s="23">
        <f>NamaPelanggan!H255</f>
        <v>100000</v>
      </c>
      <c r="G256" s="24"/>
      <c r="H256" s="24"/>
      <c r="I256" s="24">
        <v>100000</v>
      </c>
      <c r="J256" s="24"/>
      <c r="K256" s="24"/>
      <c r="L256" s="19" t="s">
        <v>550</v>
      </c>
      <c r="M256" s="24"/>
      <c r="N256" s="22"/>
      <c r="O256" s="6"/>
      <c r="P256" s="6"/>
      <c r="Q256" s="6"/>
    </row>
    <row r="257" spans="1:17" ht="12.75" customHeight="1" x14ac:dyDescent="0.3">
      <c r="A257" s="6"/>
      <c r="B257" s="19">
        <v>254</v>
      </c>
      <c r="C257" s="20" t="str">
        <f>NamaPelanggan!C256</f>
        <v>AMP-254</v>
      </c>
      <c r="D257" s="21" t="str">
        <f>NamaPelanggan!D256</f>
        <v>nanik uus</v>
      </c>
      <c r="E257" s="21" t="str">
        <f>NamaPelanggan!E256</f>
        <v>AMPELGADING</v>
      </c>
      <c r="F257" s="23">
        <f>NamaPelanggan!H256</f>
        <v>75000</v>
      </c>
      <c r="G257" s="24"/>
      <c r="H257" s="24"/>
      <c r="I257" s="24"/>
      <c r="J257" s="24"/>
      <c r="K257" s="24"/>
      <c r="L257" s="19" t="s">
        <v>548</v>
      </c>
      <c r="M257" s="24">
        <v>100000</v>
      </c>
      <c r="N257" s="22" t="s">
        <v>574</v>
      </c>
      <c r="O257" s="6"/>
      <c r="P257" s="6"/>
      <c r="Q257" s="6"/>
    </row>
    <row r="258" spans="1:17" ht="12.75" customHeight="1" x14ac:dyDescent="0.3">
      <c r="A258" s="6"/>
      <c r="B258" s="19">
        <v>255</v>
      </c>
      <c r="C258" s="20" t="str">
        <f>NamaPelanggan!C257</f>
        <v>AMP-255</v>
      </c>
      <c r="D258" s="21" t="str">
        <f>NamaPelanggan!D257</f>
        <v>ALI</v>
      </c>
      <c r="E258" s="21" t="str">
        <f>NamaPelanggan!E257</f>
        <v>AMPELGADING</v>
      </c>
      <c r="F258" s="23">
        <f>NamaPelanggan!H257</f>
        <v>50000</v>
      </c>
      <c r="G258" s="24"/>
      <c r="H258" s="24"/>
      <c r="I258" s="24">
        <v>100000</v>
      </c>
      <c r="J258" s="24"/>
      <c r="K258" s="24"/>
      <c r="L258" s="19" t="str">
        <f t="shared" si="8"/>
        <v>LUNAS</v>
      </c>
      <c r="M258" s="24"/>
      <c r="N258" s="22"/>
      <c r="O258" s="6"/>
      <c r="P258" s="6"/>
      <c r="Q258" s="6"/>
    </row>
    <row r="259" spans="1:17" ht="12.75" customHeight="1" x14ac:dyDescent="0.3">
      <c r="A259" s="6"/>
      <c r="B259" s="19">
        <v>256</v>
      </c>
      <c r="C259" s="20" t="str">
        <f>NamaPelanggan!C258</f>
        <v>AMP-256</v>
      </c>
      <c r="D259" s="21" t="str">
        <f>NamaPelanggan!D258</f>
        <v>NITA@AGUS</v>
      </c>
      <c r="E259" s="21" t="str">
        <f>NamaPelanggan!E258</f>
        <v>AMPELGADING</v>
      </c>
      <c r="F259" s="23">
        <f>NamaPelanggan!H258</f>
        <v>75000</v>
      </c>
      <c r="G259" s="24"/>
      <c r="H259" s="24"/>
      <c r="I259" s="24"/>
      <c r="J259" s="24"/>
      <c r="K259" s="24"/>
      <c r="L259" s="19" t="str">
        <f t="shared" si="8"/>
        <v>BELUM LUNAS</v>
      </c>
      <c r="M259" s="24">
        <v>100000</v>
      </c>
      <c r="N259" s="22" t="s">
        <v>574</v>
      </c>
      <c r="O259" s="6"/>
      <c r="P259" s="6"/>
      <c r="Q259" s="6"/>
    </row>
    <row r="260" spans="1:17" ht="12.75" customHeight="1" x14ac:dyDescent="0.3">
      <c r="A260" s="6"/>
      <c r="B260" s="19">
        <v>257</v>
      </c>
      <c r="C260" s="20" t="str">
        <f>NamaPelanggan!C259</f>
        <v>AMP-257</v>
      </c>
      <c r="D260" s="21" t="str">
        <f>NamaPelanggan!D259</f>
        <v>TEGUH@SUM</v>
      </c>
      <c r="E260" s="21" t="str">
        <f>NamaPelanggan!E259</f>
        <v>AMPELGADING</v>
      </c>
      <c r="F260" s="23">
        <f>NamaPelanggan!H259</f>
        <v>100000</v>
      </c>
      <c r="G260" s="24"/>
      <c r="H260" s="24"/>
      <c r="I260" s="24"/>
      <c r="J260" s="24"/>
      <c r="K260" s="24"/>
      <c r="L260" s="19" t="str">
        <f t="shared" si="8"/>
        <v>BELUM LUNAS</v>
      </c>
      <c r="M260" s="24">
        <v>700000</v>
      </c>
      <c r="N260" s="22" t="s">
        <v>585</v>
      </c>
      <c r="O260" s="6"/>
      <c r="P260" s="6"/>
      <c r="Q260" s="6"/>
    </row>
    <row r="261" spans="1:17" ht="12.75" customHeight="1" x14ac:dyDescent="0.3">
      <c r="A261" s="6"/>
      <c r="B261" s="19">
        <v>258</v>
      </c>
      <c r="C261" s="20" t="str">
        <f>NamaPelanggan!C260</f>
        <v>AMP-258</v>
      </c>
      <c r="D261" s="21" t="str">
        <f>NamaPelanggan!D260</f>
        <v>ILYAS@TERMINAL</v>
      </c>
      <c r="E261" s="21" t="str">
        <f>NamaPelanggan!E260</f>
        <v>AMPELGADING</v>
      </c>
      <c r="F261" s="23">
        <f>NamaPelanggan!H260</f>
        <v>100000</v>
      </c>
      <c r="G261" s="24"/>
      <c r="H261" s="24"/>
      <c r="I261" s="24"/>
      <c r="J261" s="24"/>
      <c r="K261" s="24"/>
      <c r="L261" s="19" t="str">
        <f t="shared" si="8"/>
        <v>BELUM LUNAS</v>
      </c>
      <c r="M261" s="24">
        <v>900000</v>
      </c>
      <c r="N261" s="22" t="s">
        <v>586</v>
      </c>
      <c r="O261" s="6"/>
      <c r="P261" s="6"/>
      <c r="Q261" s="6"/>
    </row>
    <row r="262" spans="1:17" ht="12.75" customHeight="1" x14ac:dyDescent="0.3">
      <c r="A262" s="6"/>
      <c r="B262" s="19">
        <v>259</v>
      </c>
      <c r="C262" s="20" t="str">
        <f>NamaPelanggan!C261</f>
        <v>AMP-259</v>
      </c>
      <c r="D262" s="21" t="str">
        <f>NamaPelanggan!D261</f>
        <v>IRIL</v>
      </c>
      <c r="E262" s="21" t="str">
        <f>NamaPelanggan!E261</f>
        <v>AMPELGADING</v>
      </c>
      <c r="F262" s="23">
        <f>NamaPelanggan!H261</f>
        <v>100000</v>
      </c>
      <c r="G262" s="24"/>
      <c r="H262" s="24">
        <v>100000</v>
      </c>
      <c r="I262" s="24"/>
      <c r="J262" s="24"/>
      <c r="K262" s="24"/>
      <c r="L262" s="19" t="str">
        <f t="shared" si="8"/>
        <v>LUNAS</v>
      </c>
      <c r="M262" s="24"/>
      <c r="N262" s="22"/>
      <c r="O262" s="6"/>
      <c r="P262" s="6"/>
      <c r="Q262" s="6"/>
    </row>
    <row r="263" spans="1:17" ht="12.75" customHeight="1" x14ac:dyDescent="0.3">
      <c r="A263" s="6"/>
      <c r="B263" s="19">
        <v>260</v>
      </c>
      <c r="C263" s="20" t="str">
        <f>NamaPelanggan!C262</f>
        <v>AMP-260</v>
      </c>
      <c r="D263" s="21" t="str">
        <f>NamaPelanggan!D262</f>
        <v>WAWAN@ALEA</v>
      </c>
      <c r="E263" s="21" t="str">
        <f>NamaPelanggan!E262</f>
        <v>AMPELGADING</v>
      </c>
      <c r="F263" s="23">
        <f>NamaPelanggan!H262</f>
        <v>100000</v>
      </c>
      <c r="G263" s="24"/>
      <c r="H263" s="24"/>
      <c r="I263" s="24"/>
      <c r="J263" s="24"/>
      <c r="K263" s="24">
        <v>100000</v>
      </c>
      <c r="L263" s="19" t="str">
        <f t="shared" si="8"/>
        <v>LUNAS</v>
      </c>
      <c r="M263" s="24"/>
      <c r="N263" s="22"/>
      <c r="O263" s="6"/>
      <c r="P263" s="6"/>
      <c r="Q263" s="6"/>
    </row>
    <row r="264" spans="1:17" ht="12.75" customHeight="1" x14ac:dyDescent="0.3">
      <c r="A264" s="6"/>
      <c r="B264" s="19">
        <v>261</v>
      </c>
      <c r="C264" s="20" t="str">
        <f>NamaPelanggan!C263</f>
        <v>AMP-261</v>
      </c>
      <c r="D264" s="21" t="str">
        <f>NamaPelanggan!D263</f>
        <v>royalemart</v>
      </c>
      <c r="E264" s="21" t="str">
        <f>NamaPelanggan!E263</f>
        <v>AMPELGADING</v>
      </c>
      <c r="F264" s="23">
        <f>NamaPelanggan!H263</f>
        <v>100000</v>
      </c>
      <c r="G264" s="24"/>
      <c r="H264" s="24"/>
      <c r="I264" s="24">
        <v>100000</v>
      </c>
      <c r="J264" s="24"/>
      <c r="K264" s="24"/>
      <c r="L264" s="19" t="str">
        <f t="shared" si="8"/>
        <v>LUNAS</v>
      </c>
      <c r="M264" s="24"/>
      <c r="N264" s="22"/>
      <c r="O264" s="6"/>
      <c r="P264" s="6"/>
      <c r="Q264" s="6"/>
    </row>
    <row r="265" spans="1:17" ht="12.75" customHeight="1" x14ac:dyDescent="0.3">
      <c r="A265" s="6"/>
      <c r="B265" s="19">
        <v>262</v>
      </c>
      <c r="C265" s="20" t="str">
        <f>NamaPelanggan!C264</f>
        <v>PAN-262</v>
      </c>
      <c r="D265" s="21" t="str">
        <f>NamaPelanggan!D264</f>
        <v>YENI@PANGGANG</v>
      </c>
      <c r="E265" s="21" t="str">
        <f>NamaPelanggan!E264</f>
        <v>PANGGANG</v>
      </c>
      <c r="F265" s="23">
        <f>NamaPelanggan!H264</f>
        <v>100000</v>
      </c>
      <c r="G265" s="24"/>
      <c r="H265" s="24"/>
      <c r="I265" s="24">
        <v>100000</v>
      </c>
      <c r="J265" s="24"/>
      <c r="K265" s="24"/>
      <c r="L265" s="19" t="str">
        <f t="shared" si="8"/>
        <v>LUNAS</v>
      </c>
      <c r="M265" s="24"/>
      <c r="N265" s="22"/>
      <c r="O265" s="6"/>
      <c r="P265" s="6"/>
      <c r="Q265" s="6"/>
    </row>
    <row r="266" spans="1:17" ht="12.75" customHeight="1" x14ac:dyDescent="0.3">
      <c r="A266" s="6"/>
      <c r="B266" s="19">
        <v>263</v>
      </c>
      <c r="C266" s="20" t="str">
        <f>NamaPelanggan!C265</f>
        <v>PAN-263</v>
      </c>
      <c r="D266" s="21" t="str">
        <f>NamaPelanggan!D265</f>
        <v>YANTO</v>
      </c>
      <c r="E266" s="21" t="str">
        <f>NamaPelanggan!E265</f>
        <v>PANGGANG</v>
      </c>
      <c r="F266" s="23">
        <f>NamaPelanggan!H265</f>
        <v>100000</v>
      </c>
      <c r="G266" s="24"/>
      <c r="H266" s="24"/>
      <c r="I266" s="24">
        <v>100000</v>
      </c>
      <c r="J266" s="24"/>
      <c r="K266" s="24"/>
      <c r="L266" s="19" t="str">
        <f t="shared" si="8"/>
        <v>LUNAS</v>
      </c>
      <c r="M266" s="24"/>
      <c r="N266" s="22"/>
      <c r="O266" s="6"/>
      <c r="P266" s="6"/>
      <c r="Q266" s="6"/>
    </row>
    <row r="267" spans="1:17" ht="12.75" customHeight="1" x14ac:dyDescent="0.3">
      <c r="A267" s="6"/>
      <c r="B267" s="19">
        <v>264</v>
      </c>
      <c r="C267" s="20" t="str">
        <f>NamaPelanggan!C266</f>
        <v>PAN-264</v>
      </c>
      <c r="D267" s="21" t="str">
        <f>NamaPelanggan!D266</f>
        <v>WAWAN</v>
      </c>
      <c r="E267" s="21" t="str">
        <f>NamaPelanggan!E266</f>
        <v>PANGGANG</v>
      </c>
      <c r="F267" s="23">
        <f>NamaPelanggan!H266</f>
        <v>100000</v>
      </c>
      <c r="G267" s="24"/>
      <c r="H267" s="24"/>
      <c r="I267" s="24">
        <v>100000</v>
      </c>
      <c r="J267" s="24"/>
      <c r="K267" s="24"/>
      <c r="L267" s="19" t="str">
        <f t="shared" si="8"/>
        <v>LUNAS</v>
      </c>
      <c r="M267" s="24"/>
      <c r="N267" s="22"/>
      <c r="O267" s="6"/>
      <c r="P267" s="6"/>
      <c r="Q267" s="6"/>
    </row>
    <row r="268" spans="1:17" ht="12.75" customHeight="1" x14ac:dyDescent="0.3">
      <c r="A268" s="6"/>
      <c r="B268" s="19">
        <v>265</v>
      </c>
      <c r="C268" s="20" t="str">
        <f>NamaPelanggan!C267</f>
        <v>PAN-265</v>
      </c>
      <c r="D268" s="21" t="str">
        <f>NamaPelanggan!D267</f>
        <v>TRIS</v>
      </c>
      <c r="E268" s="21" t="str">
        <f>NamaPelanggan!E267</f>
        <v>PANGGANG</v>
      </c>
      <c r="F268" s="23">
        <f>NamaPelanggan!H267</f>
        <v>100000</v>
      </c>
      <c r="G268" s="24"/>
      <c r="H268" s="24"/>
      <c r="I268" s="24">
        <v>100000</v>
      </c>
      <c r="J268" s="24"/>
      <c r="K268" s="24"/>
      <c r="L268" s="19" t="str">
        <f t="shared" si="8"/>
        <v>LUNAS</v>
      </c>
      <c r="M268" s="24"/>
      <c r="N268" s="22"/>
      <c r="O268" s="6"/>
      <c r="P268" s="6"/>
      <c r="Q268" s="6"/>
    </row>
    <row r="269" spans="1:17" ht="12.75" customHeight="1" x14ac:dyDescent="0.3">
      <c r="A269" s="6"/>
      <c r="B269" s="19">
        <v>266</v>
      </c>
      <c r="C269" s="20" t="str">
        <f>NamaPelanggan!C268</f>
        <v>PAN-266</v>
      </c>
      <c r="D269" s="21" t="str">
        <f>NamaPelanggan!D268</f>
        <v>RIZKI</v>
      </c>
      <c r="E269" s="21" t="str">
        <f>NamaPelanggan!E268</f>
        <v>PANGGANG</v>
      </c>
      <c r="F269" s="23">
        <f>NamaPelanggan!H268</f>
        <v>100000</v>
      </c>
      <c r="G269" s="24"/>
      <c r="H269" s="24"/>
      <c r="I269" s="24"/>
      <c r="J269" s="24"/>
      <c r="K269" s="24"/>
      <c r="L269" s="19" t="str">
        <f t="shared" si="8"/>
        <v>BELUM LUNAS</v>
      </c>
      <c r="M269" s="24">
        <v>500000</v>
      </c>
      <c r="N269" s="22" t="s">
        <v>578</v>
      </c>
      <c r="O269" s="6"/>
      <c r="P269" s="6"/>
      <c r="Q269" s="6"/>
    </row>
    <row r="270" spans="1:17" ht="12.75" customHeight="1" x14ac:dyDescent="0.3">
      <c r="A270" s="6"/>
      <c r="B270" s="19">
        <v>267</v>
      </c>
      <c r="C270" s="20" t="str">
        <f>NamaPelanggan!C269</f>
        <v>PAN-267</v>
      </c>
      <c r="D270" s="21" t="str">
        <f>NamaPelanggan!D269</f>
        <v>P.YUNI</v>
      </c>
      <c r="E270" s="21" t="str">
        <f>NamaPelanggan!E269</f>
        <v>PANGGANG</v>
      </c>
      <c r="F270" s="23">
        <f>NamaPelanggan!H269</f>
        <v>100000</v>
      </c>
      <c r="G270" s="24"/>
      <c r="H270" s="24"/>
      <c r="I270" s="24">
        <v>100000</v>
      </c>
      <c r="J270" s="24"/>
      <c r="K270" s="24"/>
      <c r="L270" s="19" t="str">
        <f t="shared" si="8"/>
        <v>LUNAS</v>
      </c>
      <c r="M270" s="24"/>
      <c r="N270" s="22"/>
      <c r="O270" s="6"/>
      <c r="P270" s="6"/>
      <c r="Q270" s="6"/>
    </row>
    <row r="271" spans="1:17" ht="12.75" customHeight="1" x14ac:dyDescent="0.3">
      <c r="A271" s="6"/>
      <c r="B271" s="19">
        <v>268</v>
      </c>
      <c r="C271" s="20" t="str">
        <f>NamaPelanggan!C270</f>
        <v>PAN-268</v>
      </c>
      <c r="D271" s="21" t="str">
        <f>NamaPelanggan!D270</f>
        <v>IRMA@SENTRAL</v>
      </c>
      <c r="E271" s="21" t="str">
        <f>NamaPelanggan!E270</f>
        <v>PANGGANG</v>
      </c>
      <c r="F271" s="23">
        <f>NamaPelanggan!H270</f>
        <v>100000</v>
      </c>
      <c r="G271" s="24"/>
      <c r="H271" s="24"/>
      <c r="I271" s="24">
        <v>100000</v>
      </c>
      <c r="J271" s="24"/>
      <c r="K271" s="24"/>
      <c r="L271" s="19" t="str">
        <f t="shared" si="8"/>
        <v>LUNAS</v>
      </c>
      <c r="M271" s="24"/>
      <c r="N271" s="22"/>
      <c r="O271" s="6"/>
      <c r="P271" s="6"/>
      <c r="Q271" s="6"/>
    </row>
    <row r="272" spans="1:17" ht="12.75" customHeight="1" x14ac:dyDescent="0.3">
      <c r="A272" s="6"/>
      <c r="B272" s="19">
        <v>269</v>
      </c>
      <c r="C272" s="20" t="str">
        <f>NamaPelanggan!C271</f>
        <v>PAN-269</v>
      </c>
      <c r="D272" s="21" t="str">
        <f>NamaPelanggan!D271</f>
        <v>FIRA@SILVIA</v>
      </c>
      <c r="E272" s="21" t="str">
        <f>NamaPelanggan!E271</f>
        <v>PANGGANG</v>
      </c>
      <c r="F272" s="23">
        <f>NamaPelanggan!H271</f>
        <v>100000</v>
      </c>
      <c r="G272" s="24"/>
      <c r="H272" s="24"/>
      <c r="I272" s="24">
        <v>100000</v>
      </c>
      <c r="J272" s="24"/>
      <c r="K272" s="24"/>
      <c r="L272" s="19" t="str">
        <f t="shared" si="8"/>
        <v>LUNAS</v>
      </c>
      <c r="M272" s="24"/>
      <c r="N272" s="22"/>
      <c r="O272" s="6"/>
      <c r="P272" s="6"/>
      <c r="Q272" s="6"/>
    </row>
    <row r="273" spans="1:17" ht="12.75" customHeight="1" x14ac:dyDescent="0.3">
      <c r="A273" s="6"/>
      <c r="B273" s="19">
        <v>270</v>
      </c>
      <c r="C273" s="20" t="str">
        <f>NamaPelanggan!C272</f>
        <v>PAN-270</v>
      </c>
      <c r="D273" s="21" t="str">
        <f>NamaPelanggan!D272</f>
        <v>DHARMA / VERA</v>
      </c>
      <c r="E273" s="21" t="str">
        <f>NamaPelanggan!E272</f>
        <v>PANGGANG</v>
      </c>
      <c r="F273" s="23">
        <f>NamaPelanggan!H272</f>
        <v>100000</v>
      </c>
      <c r="G273" s="24"/>
      <c r="H273" s="24"/>
      <c r="I273" s="24">
        <v>100000</v>
      </c>
      <c r="J273" s="24"/>
      <c r="K273" s="24"/>
      <c r="L273" s="19" t="str">
        <f t="shared" si="8"/>
        <v>LUNAS</v>
      </c>
      <c r="M273" s="24"/>
      <c r="N273" s="22"/>
      <c r="O273" s="6"/>
      <c r="P273" s="6"/>
      <c r="Q273" s="6"/>
    </row>
    <row r="274" spans="1:17" ht="12.75" customHeight="1" x14ac:dyDescent="0.3">
      <c r="A274" s="6"/>
      <c r="B274" s="19">
        <v>271</v>
      </c>
      <c r="C274" s="20" t="str">
        <f>NamaPelanggan!C273</f>
        <v>PAN-271</v>
      </c>
      <c r="D274" s="21" t="str">
        <f>NamaPelanggan!D273</f>
        <v>ADRIS@SILA</v>
      </c>
      <c r="E274" s="21" t="str">
        <f>NamaPelanggan!E273</f>
        <v>PANGGANG</v>
      </c>
      <c r="F274" s="23">
        <f>NamaPelanggan!H273</f>
        <v>100000</v>
      </c>
      <c r="G274" s="24"/>
      <c r="H274" s="24"/>
      <c r="I274" s="24">
        <v>100000</v>
      </c>
      <c r="J274" s="24"/>
      <c r="K274" s="24"/>
      <c r="L274" s="19" t="str">
        <f t="shared" si="8"/>
        <v>LUNAS</v>
      </c>
      <c r="M274" s="24"/>
      <c r="N274" s="22"/>
      <c r="O274" s="6"/>
      <c r="P274" s="6"/>
      <c r="Q274" s="6"/>
    </row>
    <row r="275" spans="1:17" ht="12.75" customHeight="1" x14ac:dyDescent="0.3">
      <c r="A275" s="6"/>
      <c r="B275" s="19">
        <v>272</v>
      </c>
      <c r="C275" s="20" t="str">
        <f>NamaPelanggan!C274</f>
        <v>PAN-272</v>
      </c>
      <c r="D275" s="21" t="str">
        <f>NamaPelanggan!D274</f>
        <v>lemonhouse</v>
      </c>
      <c r="E275" s="21" t="str">
        <f>NamaPelanggan!E274</f>
        <v>PANGGANG</v>
      </c>
      <c r="F275" s="23">
        <f>NamaPelanggan!H274</f>
        <v>100000</v>
      </c>
      <c r="G275" s="24"/>
      <c r="H275" s="24"/>
      <c r="I275" s="24">
        <v>100000</v>
      </c>
      <c r="J275" s="24"/>
      <c r="K275" s="24"/>
      <c r="L275" s="19" t="str">
        <f t="shared" si="8"/>
        <v>LUNAS</v>
      </c>
      <c r="M275" s="24"/>
      <c r="N275" s="22"/>
      <c r="O275" s="6"/>
      <c r="P275" s="6"/>
      <c r="Q275" s="6"/>
    </row>
    <row r="276" spans="1:17" ht="12.75" customHeight="1" x14ac:dyDescent="0.3">
      <c r="A276" s="6"/>
      <c r="B276" s="19">
        <v>273</v>
      </c>
      <c r="C276" s="20" t="str">
        <f>NamaPelanggan!C275</f>
        <v>PAN-273</v>
      </c>
      <c r="D276" s="21" t="str">
        <f>NamaPelanggan!D275</f>
        <v>wahyu</v>
      </c>
      <c r="E276" s="21" t="str">
        <f>NamaPelanggan!E275</f>
        <v>PANGGANG</v>
      </c>
      <c r="F276" s="23">
        <f>NamaPelanggan!H275</f>
        <v>100000</v>
      </c>
      <c r="G276" s="24"/>
      <c r="H276" s="24"/>
      <c r="I276" s="24">
        <v>100000</v>
      </c>
      <c r="J276" s="24"/>
      <c r="K276" s="24"/>
      <c r="L276" s="19" t="str">
        <f t="shared" si="8"/>
        <v>LUNAS</v>
      </c>
      <c r="M276" s="24"/>
      <c r="N276" s="22"/>
      <c r="O276" s="6"/>
      <c r="P276" s="6"/>
      <c r="Q276" s="6"/>
    </row>
    <row r="277" spans="1:17" ht="12.75" customHeight="1" x14ac:dyDescent="0.3">
      <c r="A277" s="6"/>
      <c r="B277" s="19">
        <v>274</v>
      </c>
      <c r="C277" s="20" t="str">
        <f>NamaPelanggan!C276</f>
        <v>PAL-274</v>
      </c>
      <c r="D277" s="21" t="str">
        <f>NamaPelanggan!D276</f>
        <v>P.ULAN</v>
      </c>
      <c r="E277" s="21" t="str">
        <f>NamaPelanggan!E276</f>
        <v>PALPAKIS</v>
      </c>
      <c r="F277" s="23">
        <f>NamaPelanggan!H276</f>
        <v>100000</v>
      </c>
      <c r="G277" s="24"/>
      <c r="H277" s="24"/>
      <c r="I277" s="24">
        <v>100000</v>
      </c>
      <c r="J277" s="24"/>
      <c r="K277" s="24"/>
      <c r="L277" s="19" t="str">
        <f t="shared" si="8"/>
        <v>LUNAS</v>
      </c>
      <c r="M277" s="24"/>
      <c r="N277" s="22"/>
      <c r="O277" s="6"/>
      <c r="P277" s="6"/>
      <c r="Q277" s="6"/>
    </row>
    <row r="278" spans="1:17" ht="12.75" customHeight="1" x14ac:dyDescent="0.3">
      <c r="A278" s="6"/>
      <c r="B278" s="19">
        <v>275</v>
      </c>
      <c r="C278" s="20" t="str">
        <f>NamaPelanggan!C277</f>
        <v>PAL-275</v>
      </c>
      <c r="D278" s="21" t="str">
        <f>NamaPelanggan!D277</f>
        <v>P.TEGUH</v>
      </c>
      <c r="E278" s="21" t="str">
        <f>NamaPelanggan!E277</f>
        <v>PALPAKIS</v>
      </c>
      <c r="F278" s="23">
        <f>NamaPelanggan!H277</f>
        <v>100000</v>
      </c>
      <c r="G278" s="24"/>
      <c r="H278" s="24"/>
      <c r="I278" s="24">
        <v>100000</v>
      </c>
      <c r="J278" s="24"/>
      <c r="K278" s="24"/>
      <c r="L278" s="19" t="str">
        <f t="shared" ref="L278:L340" si="9">IF(SUM(G278:K278)&gt;0,"LUNAS","BELUM LUNAS")</f>
        <v>LUNAS</v>
      </c>
      <c r="M278" s="24"/>
      <c r="N278" s="22"/>
      <c r="O278" s="6"/>
      <c r="P278" s="6"/>
      <c r="Q278" s="6"/>
    </row>
    <row r="279" spans="1:17" ht="12.75" customHeight="1" x14ac:dyDescent="0.3">
      <c r="A279" s="6"/>
      <c r="B279" s="19">
        <v>276</v>
      </c>
      <c r="C279" s="20" t="str">
        <f>NamaPelanggan!C278</f>
        <v>PAL-276</v>
      </c>
      <c r="D279" s="21" t="str">
        <f>NamaPelanggan!D278</f>
        <v>P.SEH</v>
      </c>
      <c r="E279" s="21" t="str">
        <f>NamaPelanggan!E278</f>
        <v>PALPAKIS</v>
      </c>
      <c r="F279" s="23">
        <f>NamaPelanggan!H278</f>
        <v>100000</v>
      </c>
      <c r="G279" s="24"/>
      <c r="H279" s="24"/>
      <c r="I279" s="24">
        <v>100000</v>
      </c>
      <c r="J279" s="24"/>
      <c r="K279" s="24"/>
      <c r="L279" s="19" t="str">
        <f t="shared" si="9"/>
        <v>LUNAS</v>
      </c>
      <c r="M279" s="24"/>
      <c r="N279" s="22"/>
      <c r="O279" s="6"/>
      <c r="P279" s="6"/>
      <c r="Q279" s="6"/>
    </row>
    <row r="280" spans="1:17" ht="12.75" customHeight="1" x14ac:dyDescent="0.3">
      <c r="A280" s="6"/>
      <c r="B280" s="19">
        <v>277</v>
      </c>
      <c r="C280" s="20" t="str">
        <f>NamaPelanggan!C279</f>
        <v>PAL-277</v>
      </c>
      <c r="D280" s="21" t="str">
        <f>NamaPelanggan!D279</f>
        <v>P.NAH@SURYONO</v>
      </c>
      <c r="E280" s="21" t="str">
        <f>NamaPelanggan!E279</f>
        <v>PALPAKIS</v>
      </c>
      <c r="F280" s="23">
        <f>NamaPelanggan!H279</f>
        <v>100000</v>
      </c>
      <c r="G280" s="24"/>
      <c r="H280" s="24"/>
      <c r="I280" s="24">
        <v>100000</v>
      </c>
      <c r="J280" s="24"/>
      <c r="K280" s="24"/>
      <c r="L280" s="19" t="str">
        <f t="shared" si="9"/>
        <v>LUNAS</v>
      </c>
      <c r="M280" s="24"/>
      <c r="N280" s="22"/>
      <c r="O280" s="6"/>
      <c r="P280" s="6"/>
      <c r="Q280" s="6"/>
    </row>
    <row r="281" spans="1:17" ht="12.75" customHeight="1" x14ac:dyDescent="0.3">
      <c r="A281" s="6"/>
      <c r="B281" s="19">
        <v>278</v>
      </c>
      <c r="C281" s="20" t="str">
        <f>NamaPelanggan!C280</f>
        <v>PAL-278</v>
      </c>
      <c r="D281" s="21" t="str">
        <f>NamaPelanggan!D280</f>
        <v>P.LUSI@HARIYANTO</v>
      </c>
      <c r="E281" s="21" t="str">
        <f>NamaPelanggan!E280</f>
        <v>PALPAKIS</v>
      </c>
      <c r="F281" s="23">
        <f>NamaPelanggan!H280</f>
        <v>100000</v>
      </c>
      <c r="G281" s="24"/>
      <c r="H281" s="24"/>
      <c r="I281" s="24">
        <v>100000</v>
      </c>
      <c r="J281" s="24"/>
      <c r="K281" s="24"/>
      <c r="L281" s="19" t="str">
        <f t="shared" si="9"/>
        <v>LUNAS</v>
      </c>
      <c r="M281" s="24"/>
      <c r="N281" s="22"/>
      <c r="O281" s="6"/>
      <c r="P281" s="6"/>
      <c r="Q281" s="6"/>
    </row>
    <row r="282" spans="1:17" ht="12.75" customHeight="1" x14ac:dyDescent="0.3">
      <c r="A282" s="6"/>
      <c r="B282" s="19">
        <v>279</v>
      </c>
      <c r="C282" s="20" t="str">
        <f>NamaPelanggan!C281</f>
        <v>PAL-279</v>
      </c>
      <c r="D282" s="21" t="str">
        <f>NamaPelanggan!D281</f>
        <v>P.EKO@EKA</v>
      </c>
      <c r="E282" s="21" t="str">
        <f>NamaPelanggan!E281</f>
        <v>PALPAKIS</v>
      </c>
      <c r="F282" s="23">
        <f>NamaPelanggan!H281</f>
        <v>100000</v>
      </c>
      <c r="G282" s="24"/>
      <c r="H282" s="24"/>
      <c r="I282" s="24">
        <v>100000</v>
      </c>
      <c r="J282" s="24"/>
      <c r="K282" s="24"/>
      <c r="L282" s="19" t="str">
        <f t="shared" si="9"/>
        <v>LUNAS</v>
      </c>
      <c r="M282" s="24"/>
      <c r="N282" s="22"/>
      <c r="O282" s="6"/>
      <c r="P282" s="6"/>
      <c r="Q282" s="6"/>
    </row>
    <row r="283" spans="1:17" ht="12.75" customHeight="1" x14ac:dyDescent="0.3">
      <c r="A283" s="6"/>
      <c r="B283" s="19">
        <v>280</v>
      </c>
      <c r="C283" s="20" t="str">
        <f>NamaPelanggan!C282</f>
        <v>PAL-280</v>
      </c>
      <c r="D283" s="21" t="str">
        <f>NamaPelanggan!D282</f>
        <v>P.AR@SARIMO</v>
      </c>
      <c r="E283" s="21" t="str">
        <f>NamaPelanggan!E282</f>
        <v>PALPAKIS</v>
      </c>
      <c r="F283" s="23">
        <f>NamaPelanggan!H282</f>
        <v>100000</v>
      </c>
      <c r="G283" s="24"/>
      <c r="H283" s="24"/>
      <c r="I283" s="24">
        <v>100000</v>
      </c>
      <c r="J283" s="24"/>
      <c r="K283" s="24"/>
      <c r="L283" s="19" t="str">
        <f t="shared" si="9"/>
        <v>LUNAS</v>
      </c>
      <c r="M283" s="24"/>
      <c r="N283" s="22"/>
      <c r="O283" s="6"/>
      <c r="P283" s="6"/>
      <c r="Q283" s="6"/>
    </row>
    <row r="284" spans="1:17" ht="12.75" customHeight="1" x14ac:dyDescent="0.3">
      <c r="A284" s="6"/>
      <c r="B284" s="19">
        <v>281</v>
      </c>
      <c r="C284" s="20" t="str">
        <f>NamaPelanggan!C283</f>
        <v>PAL-281</v>
      </c>
      <c r="D284" s="21" t="str">
        <f>NamaPelanggan!D283</f>
        <v>HERI@LITA</v>
      </c>
      <c r="E284" s="21" t="str">
        <f>NamaPelanggan!E283</f>
        <v>PALPAKIS</v>
      </c>
      <c r="F284" s="23">
        <f>NamaPelanggan!H283</f>
        <v>100000</v>
      </c>
      <c r="G284" s="24"/>
      <c r="H284" s="24"/>
      <c r="I284" s="24">
        <v>100000</v>
      </c>
      <c r="J284" s="24"/>
      <c r="K284" s="24"/>
      <c r="L284" s="19" t="str">
        <f t="shared" si="9"/>
        <v>LUNAS</v>
      </c>
      <c r="M284" s="24"/>
      <c r="N284" s="22"/>
      <c r="O284" s="6"/>
      <c r="P284" s="6"/>
      <c r="Q284" s="6"/>
    </row>
    <row r="285" spans="1:17" ht="12.75" customHeight="1" x14ac:dyDescent="0.3">
      <c r="A285" s="6"/>
      <c r="B285" s="19">
        <v>282</v>
      </c>
      <c r="C285" s="20" t="str">
        <f>NamaPelanggan!C284</f>
        <v>PAL-282</v>
      </c>
      <c r="D285" s="21" t="str">
        <f>NamaPelanggan!D284</f>
        <v>HENDRIK@TOSER</v>
      </c>
      <c r="E285" s="21" t="str">
        <f>NamaPelanggan!E284</f>
        <v>PALPAKIS</v>
      </c>
      <c r="F285" s="23">
        <f>NamaPelanggan!H284</f>
        <v>100000</v>
      </c>
      <c r="G285" s="24"/>
      <c r="H285" s="24"/>
      <c r="I285" s="24">
        <v>100000</v>
      </c>
      <c r="J285" s="24"/>
      <c r="K285" s="24"/>
      <c r="L285" s="19" t="str">
        <f t="shared" si="9"/>
        <v>LUNAS</v>
      </c>
      <c r="M285" s="24"/>
      <c r="N285" s="22"/>
      <c r="O285" s="6"/>
      <c r="P285" s="6"/>
      <c r="Q285" s="6"/>
    </row>
    <row r="286" spans="1:17" ht="12.75" customHeight="1" x14ac:dyDescent="0.3">
      <c r="A286" s="6"/>
      <c r="B286" s="19">
        <v>283</v>
      </c>
      <c r="C286" s="20" t="str">
        <f>NamaPelanggan!C285</f>
        <v>PAL-283</v>
      </c>
      <c r="D286" s="21" t="str">
        <f>NamaPelanggan!D285</f>
        <v>DANI@PALPAKIS</v>
      </c>
      <c r="E286" s="21" t="str">
        <f>NamaPelanggan!E285</f>
        <v>PALPAKIS</v>
      </c>
      <c r="F286" s="23">
        <f>NamaPelanggan!H285</f>
        <v>100000</v>
      </c>
      <c r="G286" s="24"/>
      <c r="H286" s="24"/>
      <c r="I286" s="24">
        <v>100000</v>
      </c>
      <c r="J286" s="24"/>
      <c r="K286" s="24"/>
      <c r="L286" s="19" t="str">
        <f t="shared" si="9"/>
        <v>LUNAS</v>
      </c>
      <c r="M286" s="24"/>
      <c r="N286" s="22"/>
      <c r="O286" s="6"/>
      <c r="P286" s="6"/>
      <c r="Q286" s="6"/>
    </row>
    <row r="287" spans="1:17" ht="12.75" customHeight="1" x14ac:dyDescent="0.3">
      <c r="A287" s="6"/>
      <c r="B287" s="19">
        <v>284</v>
      </c>
      <c r="C287" s="20" t="str">
        <f>NamaPelanggan!C286</f>
        <v>PAL-284</v>
      </c>
      <c r="D287" s="21" t="str">
        <f>NamaPelanggan!D286</f>
        <v>BINTANG@AGUS</v>
      </c>
      <c r="E287" s="21" t="str">
        <f>NamaPelanggan!E286</f>
        <v>PALPAKIS</v>
      </c>
      <c r="F287" s="23">
        <f>NamaPelanggan!H286</f>
        <v>100000</v>
      </c>
      <c r="G287" s="24"/>
      <c r="H287" s="24"/>
      <c r="I287" s="24">
        <v>100000</v>
      </c>
      <c r="J287" s="24"/>
      <c r="K287" s="24"/>
      <c r="L287" s="19" t="str">
        <f t="shared" si="9"/>
        <v>LUNAS</v>
      </c>
      <c r="M287" s="24"/>
      <c r="N287" s="22"/>
      <c r="O287" s="6"/>
      <c r="P287" s="6"/>
      <c r="Q287" s="6"/>
    </row>
    <row r="288" spans="1:17" ht="12.75" customHeight="1" x14ac:dyDescent="0.3">
      <c r="A288" s="6"/>
      <c r="B288" s="19">
        <v>285</v>
      </c>
      <c r="C288" s="20" t="str">
        <f>NamaPelanggan!C287</f>
        <v>PAL-285</v>
      </c>
      <c r="D288" s="21" t="str">
        <f>NamaPelanggan!D287</f>
        <v>yusuf</v>
      </c>
      <c r="E288" s="21" t="str">
        <f>NamaPelanggan!E287</f>
        <v>PALPAKIS</v>
      </c>
      <c r="F288" s="23">
        <f>NamaPelanggan!H287</f>
        <v>100000</v>
      </c>
      <c r="G288" s="24"/>
      <c r="H288" s="24"/>
      <c r="I288" s="24">
        <v>100000</v>
      </c>
      <c r="J288" s="24"/>
      <c r="K288" s="24"/>
      <c r="L288" s="19" t="str">
        <f t="shared" si="9"/>
        <v>LUNAS</v>
      </c>
      <c r="M288" s="24"/>
      <c r="N288" s="22"/>
      <c r="O288" s="6"/>
      <c r="P288" s="6"/>
      <c r="Q288" s="6"/>
    </row>
    <row r="289" spans="1:17" ht="12.75" customHeight="1" x14ac:dyDescent="0.3">
      <c r="A289" s="6"/>
      <c r="B289" s="19">
        <v>286</v>
      </c>
      <c r="C289" s="20" t="str">
        <f>NamaPelanggan!C288</f>
        <v>PAL-286</v>
      </c>
      <c r="D289" s="21" t="str">
        <f>NamaPelanggan!D288</f>
        <v>ajimc</v>
      </c>
      <c r="E289" s="21" t="str">
        <f>NamaPelanggan!E288</f>
        <v>PALPAKIS</v>
      </c>
      <c r="F289" s="23">
        <f>NamaPelanggan!H288</f>
        <v>100000</v>
      </c>
      <c r="G289" s="24"/>
      <c r="H289" s="24"/>
      <c r="I289" s="24">
        <v>100000</v>
      </c>
      <c r="J289" s="24"/>
      <c r="K289" s="24"/>
      <c r="L289" s="19" t="str">
        <f t="shared" si="9"/>
        <v>LUNAS</v>
      </c>
      <c r="M289" s="24"/>
      <c r="N289" s="22"/>
      <c r="O289" s="6"/>
      <c r="P289" s="6"/>
      <c r="Q289" s="6"/>
    </row>
    <row r="290" spans="1:17" ht="12.75" customHeight="1" x14ac:dyDescent="0.3">
      <c r="A290" s="6"/>
      <c r="B290" s="19">
        <v>287</v>
      </c>
      <c r="C290" s="20" t="str">
        <f>NamaPelanggan!C289</f>
        <v>KEB-287</v>
      </c>
      <c r="D290" s="21" t="str">
        <f>NamaPelanggan!D289</f>
        <v>aldi@bondadap</v>
      </c>
      <c r="E290" s="21" t="str">
        <f>NamaPelanggan!E289</f>
        <v>KEBUNDADAP</v>
      </c>
      <c r="F290" s="23">
        <f>NamaPelanggan!H289</f>
        <v>100000</v>
      </c>
      <c r="G290" s="24"/>
      <c r="H290" s="24"/>
      <c r="I290" s="24">
        <v>100000</v>
      </c>
      <c r="J290" s="24"/>
      <c r="K290" s="24"/>
      <c r="L290" s="19" t="s">
        <v>550</v>
      </c>
      <c r="M290" s="24"/>
      <c r="N290" s="22"/>
      <c r="O290" s="6"/>
      <c r="P290" s="6"/>
      <c r="Q290" s="6"/>
    </row>
    <row r="291" spans="1:17" ht="12.75" customHeight="1" x14ac:dyDescent="0.3">
      <c r="A291" s="6"/>
      <c r="B291" s="19">
        <v>288</v>
      </c>
      <c r="C291" s="20" t="str">
        <f>NamaPelanggan!C290</f>
        <v>KEB-288</v>
      </c>
      <c r="D291" s="21" t="str">
        <f>NamaPelanggan!D290</f>
        <v>ali@marisa</v>
      </c>
      <c r="E291" s="21" t="str">
        <f>NamaPelanggan!E290</f>
        <v>KEBUNDADAP</v>
      </c>
      <c r="F291" s="23">
        <f>NamaPelanggan!H290</f>
        <v>100000</v>
      </c>
      <c r="G291" s="24"/>
      <c r="H291" s="24"/>
      <c r="I291" s="24"/>
      <c r="J291" s="24"/>
      <c r="K291" s="24"/>
      <c r="L291" s="19" t="str">
        <f t="shared" si="9"/>
        <v>BELUM LUNAS</v>
      </c>
      <c r="M291" s="24">
        <v>100000</v>
      </c>
      <c r="N291" s="22" t="s">
        <v>574</v>
      </c>
      <c r="O291" s="6"/>
      <c r="P291" s="6"/>
      <c r="Q291" s="6"/>
    </row>
    <row r="292" spans="1:17" ht="12.75" customHeight="1" x14ac:dyDescent="0.3">
      <c r="A292" s="6"/>
      <c r="B292" s="19">
        <v>289</v>
      </c>
      <c r="C292" s="20" t="str">
        <f>NamaPelanggan!C291</f>
        <v>KEB-289</v>
      </c>
      <c r="D292" s="21" t="str">
        <f>NamaPelanggan!D291</f>
        <v>artan@sinta</v>
      </c>
      <c r="E292" s="21" t="str">
        <f>NamaPelanggan!E291</f>
        <v>KEBUNDADAP</v>
      </c>
      <c r="F292" s="23">
        <f>NamaPelanggan!H291</f>
        <v>100000</v>
      </c>
      <c r="G292" s="24"/>
      <c r="H292" s="24"/>
      <c r="I292" s="24">
        <v>100000</v>
      </c>
      <c r="J292" s="24"/>
      <c r="K292" s="24"/>
      <c r="L292" s="19" t="str">
        <f t="shared" si="9"/>
        <v>LUNAS</v>
      </c>
      <c r="M292" s="24"/>
      <c r="N292" s="22"/>
      <c r="O292" s="6"/>
      <c r="P292" s="6"/>
      <c r="Q292" s="6"/>
    </row>
    <row r="293" spans="1:17" ht="12.75" customHeight="1" x14ac:dyDescent="0.3">
      <c r="A293" s="6"/>
      <c r="B293" s="19">
        <v>290</v>
      </c>
      <c r="C293" s="20" t="str">
        <f>NamaPelanggan!C292</f>
        <v>KEB-290</v>
      </c>
      <c r="D293" s="21" t="str">
        <f>NamaPelanggan!D292</f>
        <v>b.anis</v>
      </c>
      <c r="E293" s="21" t="str">
        <f>NamaPelanggan!E292</f>
        <v>KEBUNDADAP</v>
      </c>
      <c r="F293" s="23">
        <f>NamaPelanggan!H292</f>
        <v>100000</v>
      </c>
      <c r="G293" s="24"/>
      <c r="H293" s="24"/>
      <c r="I293" s="24">
        <v>100000</v>
      </c>
      <c r="J293" s="24"/>
      <c r="K293" s="24"/>
      <c r="L293" s="19" t="str">
        <f t="shared" si="9"/>
        <v>LUNAS</v>
      </c>
      <c r="M293" s="24"/>
      <c r="N293" s="22"/>
      <c r="O293" s="6"/>
      <c r="P293" s="6"/>
      <c r="Q293" s="6"/>
    </row>
    <row r="294" spans="1:17" ht="12.75" customHeight="1" x14ac:dyDescent="0.3">
      <c r="A294" s="6"/>
      <c r="B294" s="19">
        <v>291</v>
      </c>
      <c r="C294" s="20" t="str">
        <f>NamaPelanggan!C293</f>
        <v>KEB-291</v>
      </c>
      <c r="D294" s="21" t="str">
        <f>NamaPelanggan!D293</f>
        <v>b.rio.bondadap</v>
      </c>
      <c r="E294" s="21" t="str">
        <f>NamaPelanggan!E293</f>
        <v>KEBUNDADAP</v>
      </c>
      <c r="F294" s="23">
        <f>NamaPelanggan!H293</f>
        <v>100000</v>
      </c>
      <c r="G294" s="24"/>
      <c r="H294" s="24"/>
      <c r="I294" s="24">
        <v>100000</v>
      </c>
      <c r="J294" s="24"/>
      <c r="K294" s="24"/>
      <c r="L294" s="19" t="str">
        <f t="shared" si="9"/>
        <v>LUNAS</v>
      </c>
      <c r="M294" s="24"/>
      <c r="N294" s="22"/>
      <c r="O294" s="6"/>
      <c r="P294" s="6"/>
      <c r="Q294" s="6"/>
    </row>
    <row r="295" spans="1:17" ht="12.75" customHeight="1" x14ac:dyDescent="0.3">
      <c r="A295" s="6"/>
      <c r="B295" s="19">
        <v>292</v>
      </c>
      <c r="C295" s="20" t="str">
        <f>NamaPelanggan!C294</f>
        <v>KEB-292</v>
      </c>
      <c r="D295" s="21" t="str">
        <f>NamaPelanggan!D294</f>
        <v>b.vina</v>
      </c>
      <c r="E295" s="21" t="str">
        <f>NamaPelanggan!E294</f>
        <v>KEBUNDADAP</v>
      </c>
      <c r="F295" s="23">
        <f>NamaPelanggan!H294</f>
        <v>100000</v>
      </c>
      <c r="G295" s="24"/>
      <c r="H295" s="24"/>
      <c r="I295" s="24">
        <v>100000</v>
      </c>
      <c r="J295" s="24"/>
      <c r="K295" s="24"/>
      <c r="L295" s="19" t="str">
        <f t="shared" si="9"/>
        <v>LUNAS</v>
      </c>
      <c r="M295" s="24"/>
      <c r="N295" s="22"/>
      <c r="O295" s="6"/>
      <c r="P295" s="6"/>
      <c r="Q295" s="6"/>
    </row>
    <row r="296" spans="1:17" ht="12.75" customHeight="1" x14ac:dyDescent="0.3">
      <c r="A296" s="6"/>
      <c r="B296" s="19">
        <v>293</v>
      </c>
      <c r="C296" s="20" t="str">
        <f>NamaPelanggan!C295</f>
        <v>KEB-293</v>
      </c>
      <c r="D296" s="21" t="str">
        <f>NamaPelanggan!D295</f>
        <v>dana@bondadap</v>
      </c>
      <c r="E296" s="21" t="str">
        <f>NamaPelanggan!E295</f>
        <v>KEBUNDADAP</v>
      </c>
      <c r="F296" s="23">
        <f>NamaPelanggan!H295</f>
        <v>100000</v>
      </c>
      <c r="G296" s="24"/>
      <c r="H296" s="24"/>
      <c r="I296" s="24">
        <v>100000</v>
      </c>
      <c r="J296" s="24"/>
      <c r="K296" s="24"/>
      <c r="L296" s="19" t="str">
        <f t="shared" si="9"/>
        <v>LUNAS</v>
      </c>
      <c r="M296" s="24"/>
      <c r="N296" s="22"/>
      <c r="O296" s="6"/>
      <c r="P296" s="6"/>
      <c r="Q296" s="6"/>
    </row>
    <row r="297" spans="1:17" ht="12.75" customHeight="1" x14ac:dyDescent="0.3">
      <c r="A297" s="6"/>
      <c r="B297" s="19">
        <v>294</v>
      </c>
      <c r="C297" s="20" t="str">
        <f>NamaPelanggan!C296</f>
        <v>KEB-294</v>
      </c>
      <c r="D297" s="21" t="str">
        <f>NamaPelanggan!D296</f>
        <v>dani@bondadap</v>
      </c>
      <c r="E297" s="21" t="str">
        <f>NamaPelanggan!E296</f>
        <v>KEBUNDADAP</v>
      </c>
      <c r="F297" s="23">
        <f>NamaPelanggan!H296</f>
        <v>100000</v>
      </c>
      <c r="G297" s="24"/>
      <c r="H297" s="24"/>
      <c r="I297" s="24">
        <v>100000</v>
      </c>
      <c r="J297" s="24"/>
      <c r="K297" s="24"/>
      <c r="L297" s="19" t="str">
        <f t="shared" si="9"/>
        <v>LUNAS</v>
      </c>
      <c r="M297" s="24"/>
      <c r="N297" s="22"/>
      <c r="O297" s="6"/>
      <c r="P297" s="6"/>
      <c r="Q297" s="6"/>
    </row>
    <row r="298" spans="1:17" ht="12.75" customHeight="1" x14ac:dyDescent="0.3">
      <c r="A298" s="6"/>
      <c r="B298" s="19">
        <v>295</v>
      </c>
      <c r="C298" s="20" t="str">
        <f>NamaPelanggan!C297</f>
        <v>KEB-295</v>
      </c>
      <c r="D298" s="21" t="str">
        <f>NamaPelanggan!D297</f>
        <v>dimas@aurel</v>
      </c>
      <c r="E298" s="21" t="str">
        <f>NamaPelanggan!E297</f>
        <v>KEBUNDADAP</v>
      </c>
      <c r="F298" s="23">
        <f>NamaPelanggan!H297</f>
        <v>100000</v>
      </c>
      <c r="G298" s="24"/>
      <c r="H298" s="24"/>
      <c r="I298" s="24">
        <v>200000</v>
      </c>
      <c r="J298" s="24"/>
      <c r="K298" s="24"/>
      <c r="L298" s="19" t="s">
        <v>548</v>
      </c>
      <c r="M298" s="24">
        <v>100000</v>
      </c>
      <c r="N298" s="22" t="s">
        <v>574</v>
      </c>
      <c r="O298" s="6"/>
      <c r="P298" s="6"/>
      <c r="Q298" s="6"/>
    </row>
    <row r="299" spans="1:17" ht="12.75" customHeight="1" x14ac:dyDescent="0.3">
      <c r="A299" s="6"/>
      <c r="B299" s="19">
        <v>296</v>
      </c>
      <c r="C299" s="20" t="str">
        <f>NamaPelanggan!C298</f>
        <v>KEB-296</v>
      </c>
      <c r="D299" s="21" t="str">
        <f>NamaPelanggan!D298</f>
        <v>edi@hikam</v>
      </c>
      <c r="E299" s="21" t="str">
        <f>NamaPelanggan!E298</f>
        <v>KEBUNDADAP</v>
      </c>
      <c r="F299" s="23">
        <f>NamaPelanggan!H298</f>
        <v>100000</v>
      </c>
      <c r="G299" s="24"/>
      <c r="H299" s="24"/>
      <c r="I299" s="24">
        <v>100000</v>
      </c>
      <c r="J299" s="24"/>
      <c r="K299" s="24"/>
      <c r="L299" s="19" t="str">
        <f t="shared" si="9"/>
        <v>LUNAS</v>
      </c>
      <c r="M299" s="24"/>
      <c r="N299" s="22"/>
      <c r="O299" s="6"/>
      <c r="P299" s="6"/>
      <c r="Q299" s="6"/>
    </row>
    <row r="300" spans="1:17" ht="12.75" customHeight="1" x14ac:dyDescent="0.3">
      <c r="A300" s="6"/>
      <c r="B300" s="19">
        <v>297</v>
      </c>
      <c r="C300" s="20" t="str">
        <f>NamaPelanggan!C299</f>
        <v>KEB-297</v>
      </c>
      <c r="D300" s="21" t="str">
        <f>NamaPelanggan!D299</f>
        <v>gino@septi</v>
      </c>
      <c r="E300" s="21" t="str">
        <f>NamaPelanggan!E299</f>
        <v>KEBUNDADAP</v>
      </c>
      <c r="F300" s="23">
        <f>NamaPelanggan!H299</f>
        <v>100000</v>
      </c>
      <c r="G300" s="24"/>
      <c r="H300" s="24"/>
      <c r="I300" s="24">
        <v>100000</v>
      </c>
      <c r="J300" s="24"/>
      <c r="K300" s="24"/>
      <c r="L300" s="19" t="str">
        <f t="shared" si="9"/>
        <v>LUNAS</v>
      </c>
      <c r="M300" s="24"/>
      <c r="N300" s="22"/>
      <c r="O300" s="6"/>
      <c r="P300" s="6"/>
      <c r="Q300" s="6"/>
    </row>
    <row r="301" spans="1:17" ht="12.75" customHeight="1" x14ac:dyDescent="0.3">
      <c r="A301" s="6"/>
      <c r="B301" s="19">
        <v>298</v>
      </c>
      <c r="C301" s="20" t="str">
        <f>NamaPelanggan!C300</f>
        <v>KEB-298</v>
      </c>
      <c r="D301" s="21" t="str">
        <f>NamaPelanggan!D300</f>
        <v>har</v>
      </c>
      <c r="E301" s="21" t="str">
        <f>NamaPelanggan!E300</f>
        <v>KEBUNDADAP</v>
      </c>
      <c r="F301" s="23">
        <f>NamaPelanggan!H300</f>
        <v>100000</v>
      </c>
      <c r="G301" s="24"/>
      <c r="H301" s="24"/>
      <c r="I301" s="24"/>
      <c r="J301" s="24"/>
      <c r="K301" s="24"/>
      <c r="L301" s="19" t="s">
        <v>548</v>
      </c>
      <c r="M301" s="24">
        <v>200000</v>
      </c>
      <c r="N301" s="22" t="s">
        <v>583</v>
      </c>
      <c r="O301" s="6"/>
      <c r="P301" s="6"/>
      <c r="Q301" s="6"/>
    </row>
    <row r="302" spans="1:17" ht="12.75" customHeight="1" x14ac:dyDescent="0.3">
      <c r="A302" s="6"/>
      <c r="B302" s="19">
        <v>299</v>
      </c>
      <c r="C302" s="20" t="str">
        <f>NamaPelanggan!C301</f>
        <v>KEB-299</v>
      </c>
      <c r="D302" s="21" t="str">
        <f>NamaPelanggan!D301</f>
        <v>ijen@miner</v>
      </c>
      <c r="E302" s="21" t="str">
        <f>NamaPelanggan!E301</f>
        <v>KEBUNDADAP</v>
      </c>
      <c r="F302" s="23">
        <f>NamaPelanggan!H301</f>
        <v>100000</v>
      </c>
      <c r="G302" s="24"/>
      <c r="H302" s="24"/>
      <c r="I302" s="24">
        <v>100000</v>
      </c>
      <c r="J302" s="24"/>
      <c r="K302" s="24"/>
      <c r="L302" s="19" t="str">
        <f t="shared" si="9"/>
        <v>LUNAS</v>
      </c>
      <c r="M302" s="24"/>
      <c r="N302" s="22"/>
      <c r="O302" s="6"/>
      <c r="P302" s="6"/>
      <c r="Q302" s="6"/>
    </row>
    <row r="303" spans="1:17" ht="12.75" customHeight="1" x14ac:dyDescent="0.3">
      <c r="A303" s="6"/>
      <c r="B303" s="19">
        <v>300</v>
      </c>
      <c r="C303" s="20" t="str">
        <f>NamaPelanggan!C302</f>
        <v>KEB-300</v>
      </c>
      <c r="D303" s="21" t="str">
        <f>NamaPelanggan!D302</f>
        <v>jumairi@bondadap ( aditya )</v>
      </c>
      <c r="E303" s="21" t="str">
        <f>NamaPelanggan!E302</f>
        <v>KEBUNDADAP</v>
      </c>
      <c r="F303" s="23">
        <f>NamaPelanggan!H302</f>
        <v>100000</v>
      </c>
      <c r="G303" s="24"/>
      <c r="H303" s="24"/>
      <c r="I303" s="24"/>
      <c r="J303" s="24"/>
      <c r="K303" s="24"/>
      <c r="L303" s="19" t="s">
        <v>550</v>
      </c>
      <c r="M303" s="24"/>
      <c r="N303" s="22"/>
      <c r="O303" s="6"/>
      <c r="P303" s="6"/>
      <c r="Q303" s="6"/>
    </row>
    <row r="304" spans="1:17" ht="12.75" customHeight="1" x14ac:dyDescent="0.3">
      <c r="A304" s="6"/>
      <c r="B304" s="19">
        <v>301</v>
      </c>
      <c r="C304" s="20" t="str">
        <f>NamaPelanggan!C303</f>
        <v>KEB-301</v>
      </c>
      <c r="D304" s="21" t="str">
        <f>NamaPelanggan!D303</f>
        <v>jumhari (b. fatur )</v>
      </c>
      <c r="E304" s="21" t="str">
        <f>NamaPelanggan!E303</f>
        <v>KEBUNDADAP</v>
      </c>
      <c r="F304" s="23">
        <f>NamaPelanggan!H303</f>
        <v>100000</v>
      </c>
      <c r="G304" s="24"/>
      <c r="H304" s="24"/>
      <c r="I304" s="24">
        <v>100000</v>
      </c>
      <c r="J304" s="24"/>
      <c r="K304" s="24"/>
      <c r="L304" s="19" t="s">
        <v>550</v>
      </c>
      <c r="M304" s="24"/>
      <c r="N304" s="22"/>
      <c r="O304" s="6"/>
      <c r="P304" s="6"/>
      <c r="Q304" s="6"/>
    </row>
    <row r="305" spans="1:17" ht="12.75" customHeight="1" x14ac:dyDescent="0.3">
      <c r="A305" s="6"/>
      <c r="B305" s="19">
        <v>302</v>
      </c>
      <c r="C305" s="20" t="str">
        <f>NamaPelanggan!C304</f>
        <v>KEB-302</v>
      </c>
      <c r="D305" s="21" t="str">
        <f>NamaPelanggan!D304</f>
        <v>leo</v>
      </c>
      <c r="E305" s="21" t="str">
        <f>NamaPelanggan!E304</f>
        <v>KEBUNDADAP</v>
      </c>
      <c r="F305" s="23">
        <f>NamaPelanggan!H304</f>
        <v>100000</v>
      </c>
      <c r="G305" s="24"/>
      <c r="H305" s="24"/>
      <c r="I305" s="24">
        <v>100000</v>
      </c>
      <c r="J305" s="24"/>
      <c r="K305" s="24"/>
      <c r="L305" s="19" t="s">
        <v>548</v>
      </c>
      <c r="M305" s="24">
        <v>100000</v>
      </c>
      <c r="N305" s="22" t="s">
        <v>574</v>
      </c>
      <c r="O305" s="6"/>
      <c r="P305" s="6"/>
      <c r="Q305" s="6"/>
    </row>
    <row r="306" spans="1:17" ht="12.75" customHeight="1" x14ac:dyDescent="0.3">
      <c r="A306" s="6"/>
      <c r="B306" s="19">
        <v>303</v>
      </c>
      <c r="C306" s="20" t="str">
        <f>NamaPelanggan!C305</f>
        <v>KEB-303</v>
      </c>
      <c r="D306" s="21" t="str">
        <f>NamaPelanggan!D305</f>
        <v>lukman @bondadap</v>
      </c>
      <c r="E306" s="21" t="str">
        <f>NamaPelanggan!E305</f>
        <v>KEBUNDADAP</v>
      </c>
      <c r="F306" s="23">
        <f>NamaPelanggan!H305</f>
        <v>100000</v>
      </c>
      <c r="G306" s="24"/>
      <c r="H306" s="24"/>
      <c r="I306" s="24">
        <v>100000</v>
      </c>
      <c r="J306" s="24"/>
      <c r="K306" s="24"/>
      <c r="L306" s="19" t="str">
        <f t="shared" si="9"/>
        <v>LUNAS</v>
      </c>
      <c r="M306" s="24"/>
      <c r="N306" s="22"/>
      <c r="O306" s="6"/>
      <c r="P306" s="6"/>
      <c r="Q306" s="6"/>
    </row>
    <row r="307" spans="1:17" ht="12.75" customHeight="1" x14ac:dyDescent="0.3">
      <c r="A307" s="6"/>
      <c r="B307" s="19">
        <v>304</v>
      </c>
      <c r="C307" s="20" t="str">
        <f>NamaPelanggan!C306</f>
        <v>KEB-304</v>
      </c>
      <c r="D307" s="21" t="str">
        <f>NamaPelanggan!D306</f>
        <v>mariyanto@bondadap</v>
      </c>
      <c r="E307" s="21" t="str">
        <f>NamaPelanggan!E306</f>
        <v>KEBUNDADAP</v>
      </c>
      <c r="F307" s="23">
        <f>NamaPelanggan!H306</f>
        <v>100000</v>
      </c>
      <c r="G307" s="24"/>
      <c r="H307" s="24"/>
      <c r="I307" s="24">
        <v>100000</v>
      </c>
      <c r="J307" s="24"/>
      <c r="K307" s="24"/>
      <c r="L307" s="19" t="str">
        <f t="shared" si="9"/>
        <v>LUNAS</v>
      </c>
      <c r="M307" s="24"/>
      <c r="N307" s="22"/>
      <c r="O307" s="6"/>
      <c r="P307" s="6"/>
      <c r="Q307" s="6"/>
    </row>
    <row r="308" spans="1:17" ht="12.75" customHeight="1" x14ac:dyDescent="0.3">
      <c r="A308" s="6"/>
      <c r="B308" s="19">
        <v>305</v>
      </c>
      <c r="C308" s="20" t="str">
        <f>NamaPelanggan!C307</f>
        <v>KEB-305</v>
      </c>
      <c r="D308" s="21" t="str">
        <f>NamaPelanggan!D307</f>
        <v>marsuki@bondadap</v>
      </c>
      <c r="E308" s="21" t="str">
        <f>NamaPelanggan!E307</f>
        <v>KEBUNDADAP</v>
      </c>
      <c r="F308" s="23">
        <f>NamaPelanggan!H307</f>
        <v>100000</v>
      </c>
      <c r="G308" s="24"/>
      <c r="H308" s="24"/>
      <c r="I308" s="24">
        <v>100000</v>
      </c>
      <c r="J308" s="24"/>
      <c r="K308" s="24"/>
      <c r="L308" s="19" t="str">
        <f t="shared" si="9"/>
        <v>LUNAS</v>
      </c>
      <c r="M308" s="24"/>
      <c r="N308" s="22"/>
      <c r="O308" s="6"/>
      <c r="P308" s="6"/>
      <c r="Q308" s="6"/>
    </row>
    <row r="309" spans="1:17" ht="12.75" customHeight="1" x14ac:dyDescent="0.3">
      <c r="A309" s="6"/>
      <c r="B309" s="19">
        <v>306</v>
      </c>
      <c r="C309" s="20" t="str">
        <f>NamaPelanggan!C308</f>
        <v>KEB-306</v>
      </c>
      <c r="D309" s="21" t="str">
        <f>NamaPelanggan!D308</f>
        <v>matrasid</v>
      </c>
      <c r="E309" s="21" t="str">
        <f>NamaPelanggan!E308</f>
        <v>KEBUNDADAP</v>
      </c>
      <c r="F309" s="23">
        <f>NamaPelanggan!H308</f>
        <v>100000</v>
      </c>
      <c r="G309" s="24"/>
      <c r="H309" s="24"/>
      <c r="I309" s="24">
        <v>100000</v>
      </c>
      <c r="J309" s="24"/>
      <c r="K309" s="24"/>
      <c r="L309" s="19" t="str">
        <f t="shared" si="9"/>
        <v>LUNAS</v>
      </c>
      <c r="M309" s="24"/>
      <c r="N309" s="22"/>
      <c r="O309" s="6"/>
      <c r="P309" s="6"/>
      <c r="Q309" s="6"/>
    </row>
    <row r="310" spans="1:17" ht="12.75" customHeight="1" x14ac:dyDescent="0.3">
      <c r="A310" s="6"/>
      <c r="B310" s="19">
        <v>307</v>
      </c>
      <c r="C310" s="20" t="str">
        <f>NamaPelanggan!C309</f>
        <v>KEB-307</v>
      </c>
      <c r="D310" s="21" t="str">
        <f>NamaPelanggan!D309</f>
        <v>no@bondadap / p.adit</v>
      </c>
      <c r="E310" s="21" t="str">
        <f>NamaPelanggan!E309</f>
        <v>KEBUNDADAP</v>
      </c>
      <c r="F310" s="23">
        <f>NamaPelanggan!H309</f>
        <v>100000</v>
      </c>
      <c r="G310" s="24"/>
      <c r="H310" s="24"/>
      <c r="I310" s="24">
        <v>100000</v>
      </c>
      <c r="J310" s="24"/>
      <c r="K310" s="24"/>
      <c r="L310" s="19" t="str">
        <f t="shared" si="9"/>
        <v>LUNAS</v>
      </c>
      <c r="M310" s="24"/>
      <c r="N310" s="22"/>
      <c r="O310" s="6"/>
      <c r="P310" s="6"/>
      <c r="Q310" s="6"/>
    </row>
    <row r="311" spans="1:17" ht="12.75" customHeight="1" x14ac:dyDescent="0.3">
      <c r="A311" s="6"/>
      <c r="B311" s="19">
        <v>308</v>
      </c>
      <c r="C311" s="20" t="str">
        <f>NamaPelanggan!C310</f>
        <v>KEB-308</v>
      </c>
      <c r="D311" s="21" t="str">
        <f>NamaPelanggan!D310</f>
        <v>nurulhidayat</v>
      </c>
      <c r="E311" s="21" t="str">
        <f>NamaPelanggan!E310</f>
        <v>KEBUNDADAP</v>
      </c>
      <c r="F311" s="23">
        <f>NamaPelanggan!H310</f>
        <v>100000</v>
      </c>
      <c r="G311" s="24"/>
      <c r="H311" s="24"/>
      <c r="I311" s="24"/>
      <c r="J311" s="24"/>
      <c r="K311" s="24"/>
      <c r="L311" s="19" t="str">
        <f t="shared" si="9"/>
        <v>BELUM LUNAS</v>
      </c>
      <c r="M311" s="24">
        <v>100000</v>
      </c>
      <c r="N311" s="22" t="s">
        <v>574</v>
      </c>
      <c r="O311" s="6"/>
      <c r="P311" s="6"/>
      <c r="Q311" s="6"/>
    </row>
    <row r="312" spans="1:17" ht="12.75" customHeight="1" x14ac:dyDescent="0.3">
      <c r="A312" s="6"/>
      <c r="B312" s="19">
        <v>309</v>
      </c>
      <c r="C312" s="20" t="str">
        <f>NamaPelanggan!C311</f>
        <v>KEB-309</v>
      </c>
      <c r="D312" s="21" t="str">
        <f>NamaPelanggan!D311</f>
        <v>p.cinta</v>
      </c>
      <c r="E312" s="21" t="str">
        <f>NamaPelanggan!E311</f>
        <v>KEBUNDADAP</v>
      </c>
      <c r="F312" s="23">
        <f>NamaPelanggan!H311</f>
        <v>100000</v>
      </c>
      <c r="G312" s="24"/>
      <c r="H312" s="24"/>
      <c r="I312" s="24">
        <v>100000</v>
      </c>
      <c r="J312" s="24"/>
      <c r="K312" s="24"/>
      <c r="L312" s="19" t="str">
        <f t="shared" si="9"/>
        <v>LUNAS</v>
      </c>
      <c r="M312" s="24"/>
      <c r="N312" s="22"/>
      <c r="O312" s="6"/>
      <c r="P312" s="6"/>
      <c r="Q312" s="6"/>
    </row>
    <row r="313" spans="1:17" ht="12.75" customHeight="1" x14ac:dyDescent="0.3">
      <c r="A313" s="6"/>
      <c r="B313" s="19">
        <v>310</v>
      </c>
      <c r="C313" s="20" t="str">
        <f>NamaPelanggan!C312</f>
        <v>KEB-310</v>
      </c>
      <c r="D313" s="21" t="str">
        <f>NamaPelanggan!D312</f>
        <v>p.mita (terusan )</v>
      </c>
      <c r="E313" s="21" t="str">
        <f>NamaPelanggan!E312</f>
        <v>KEBUNDADAP</v>
      </c>
      <c r="F313" s="23">
        <f>NamaPelanggan!H312</f>
        <v>100000</v>
      </c>
      <c r="G313" s="24"/>
      <c r="H313" s="24"/>
      <c r="I313" s="24"/>
      <c r="J313" s="24"/>
      <c r="K313" s="24"/>
      <c r="L313" s="19" t="str">
        <f t="shared" si="9"/>
        <v>BELUM LUNAS</v>
      </c>
      <c r="M313" s="24">
        <v>100000</v>
      </c>
      <c r="N313" s="22" t="s">
        <v>574</v>
      </c>
      <c r="O313" s="6"/>
      <c r="P313" s="6"/>
      <c r="Q313" s="6"/>
    </row>
    <row r="314" spans="1:17" ht="12.75" customHeight="1" x14ac:dyDescent="0.3">
      <c r="A314" s="6"/>
      <c r="B314" s="19">
        <v>311</v>
      </c>
      <c r="C314" s="20" t="str">
        <f>NamaPelanggan!C313</f>
        <v>KEB-311</v>
      </c>
      <c r="D314" s="21" t="str">
        <f>NamaPelanggan!D313</f>
        <v>p.rian</v>
      </c>
      <c r="E314" s="21" t="str">
        <f>NamaPelanggan!E313</f>
        <v>KEBUNDADAP</v>
      </c>
      <c r="F314" s="23">
        <f>NamaPelanggan!H313</f>
        <v>100000</v>
      </c>
      <c r="G314" s="24"/>
      <c r="H314" s="24"/>
      <c r="I314" s="24">
        <v>100000</v>
      </c>
      <c r="J314" s="24"/>
      <c r="K314" s="24"/>
      <c r="L314" s="19" t="str">
        <f t="shared" si="9"/>
        <v>LUNAS</v>
      </c>
      <c r="M314" s="24"/>
      <c r="N314" s="22"/>
      <c r="O314" s="6"/>
      <c r="P314" s="6"/>
      <c r="Q314" s="6"/>
    </row>
    <row r="315" spans="1:17" ht="12.75" customHeight="1" x14ac:dyDescent="0.3">
      <c r="A315" s="6"/>
      <c r="B315" s="19">
        <v>312</v>
      </c>
      <c r="C315" s="20" t="str">
        <f>NamaPelanggan!C314</f>
        <v>KEB-312</v>
      </c>
      <c r="D315" s="21" t="str">
        <f>NamaPelanggan!D314</f>
        <v>p.sandra@bondadap</v>
      </c>
      <c r="E315" s="21" t="str">
        <f>NamaPelanggan!E314</f>
        <v>KEBUNDADAP</v>
      </c>
      <c r="F315" s="23">
        <f>NamaPelanggan!H314</f>
        <v>100000</v>
      </c>
      <c r="G315" s="24"/>
      <c r="H315" s="24"/>
      <c r="I315" s="24">
        <v>100000</v>
      </c>
      <c r="J315" s="24"/>
      <c r="K315" s="24"/>
      <c r="L315" s="19" t="str">
        <f t="shared" si="9"/>
        <v>LUNAS</v>
      </c>
      <c r="M315" s="24"/>
      <c r="N315" s="22"/>
      <c r="O315" s="6"/>
      <c r="P315" s="6"/>
      <c r="Q315" s="6"/>
    </row>
    <row r="316" spans="1:17" ht="12.75" customHeight="1" x14ac:dyDescent="0.3">
      <c r="A316" s="6"/>
      <c r="B316" s="19">
        <v>313</v>
      </c>
      <c r="C316" s="20" t="str">
        <f>NamaPelanggan!C315</f>
        <v>KEB-313</v>
      </c>
      <c r="D316" s="21" t="str">
        <f>NamaPelanggan!D315</f>
        <v>p.yul@bondadap</v>
      </c>
      <c r="E316" s="21" t="str">
        <f>NamaPelanggan!E315</f>
        <v>KEBUNDADAP</v>
      </c>
      <c r="F316" s="23">
        <f>NamaPelanggan!H315</f>
        <v>100000</v>
      </c>
      <c r="G316" s="24"/>
      <c r="H316" s="24"/>
      <c r="I316" s="24">
        <v>100000</v>
      </c>
      <c r="J316" s="24"/>
      <c r="K316" s="24"/>
      <c r="L316" s="19" t="str">
        <f t="shared" si="9"/>
        <v>LUNAS</v>
      </c>
      <c r="M316" s="24"/>
      <c r="N316" s="22"/>
      <c r="O316" s="6"/>
      <c r="P316" s="6"/>
      <c r="Q316" s="6"/>
    </row>
    <row r="317" spans="1:17" ht="12.75" customHeight="1" x14ac:dyDescent="0.3">
      <c r="A317" s="6"/>
      <c r="B317" s="19">
        <v>314</v>
      </c>
      <c r="C317" s="20" t="str">
        <f>NamaPelanggan!C316</f>
        <v>KEB-314</v>
      </c>
      <c r="D317" s="21" t="str">
        <f>NamaPelanggan!D316</f>
        <v>pakom</v>
      </c>
      <c r="E317" s="21" t="str">
        <f>NamaPelanggan!E316</f>
        <v>KEBUNDADAP</v>
      </c>
      <c r="F317" s="23">
        <f>NamaPelanggan!H316</f>
        <v>100000</v>
      </c>
      <c r="G317" s="24"/>
      <c r="H317" s="24"/>
      <c r="I317" s="24">
        <v>100000</v>
      </c>
      <c r="J317" s="24"/>
      <c r="K317" s="24"/>
      <c r="L317" s="19" t="str">
        <f t="shared" si="9"/>
        <v>LUNAS</v>
      </c>
      <c r="M317" s="24"/>
      <c r="N317" s="22"/>
      <c r="O317" s="6"/>
      <c r="P317" s="6"/>
      <c r="Q317" s="6"/>
    </row>
    <row r="318" spans="1:17" ht="12.75" customHeight="1" x14ac:dyDescent="0.3">
      <c r="A318" s="6"/>
      <c r="B318" s="19">
        <v>315</v>
      </c>
      <c r="C318" s="20" t="str">
        <f>NamaPelanggan!C317</f>
        <v>KEB-315</v>
      </c>
      <c r="D318" s="21" t="str">
        <f>NamaPelanggan!D317</f>
        <v>pri@rita</v>
      </c>
      <c r="E318" s="21" t="str">
        <f>NamaPelanggan!E317</f>
        <v>KEBUNDADAP</v>
      </c>
      <c r="F318" s="23">
        <f>NamaPelanggan!H317</f>
        <v>100000</v>
      </c>
      <c r="G318" s="24"/>
      <c r="H318" s="24"/>
      <c r="I318" s="24"/>
      <c r="J318" s="24"/>
      <c r="K318" s="24"/>
      <c r="L318" s="19" t="s">
        <v>548</v>
      </c>
      <c r="M318" s="24">
        <v>200000</v>
      </c>
      <c r="N318" s="22" t="s">
        <v>583</v>
      </c>
      <c r="O318" s="6"/>
      <c r="P318" s="6"/>
      <c r="Q318" s="6"/>
    </row>
    <row r="319" spans="1:17" ht="12.75" customHeight="1" x14ac:dyDescent="0.3">
      <c r="A319" s="6"/>
      <c r="B319" s="19">
        <v>316</v>
      </c>
      <c r="C319" s="20" t="str">
        <f>NamaPelanggan!C318</f>
        <v>KEB-316</v>
      </c>
      <c r="D319" s="21" t="str">
        <f>NamaPelanggan!D318</f>
        <v>rafa@bondadap</v>
      </c>
      <c r="E319" s="21" t="str">
        <f>NamaPelanggan!E318</f>
        <v>KEBUNDADAP</v>
      </c>
      <c r="F319" s="23">
        <f>NamaPelanggan!H318</f>
        <v>100000</v>
      </c>
      <c r="G319" s="24"/>
      <c r="H319" s="24"/>
      <c r="I319" s="24">
        <v>100000</v>
      </c>
      <c r="J319" s="24"/>
      <c r="K319" s="24"/>
      <c r="L319" s="19" t="str">
        <f t="shared" si="9"/>
        <v>LUNAS</v>
      </c>
      <c r="M319" s="24"/>
      <c r="N319" s="22"/>
      <c r="O319" s="6"/>
      <c r="P319" s="6"/>
      <c r="Q319" s="6"/>
    </row>
    <row r="320" spans="1:17" ht="12.75" customHeight="1" x14ac:dyDescent="0.3">
      <c r="A320" s="6"/>
      <c r="B320" s="19">
        <v>317</v>
      </c>
      <c r="C320" s="20" t="str">
        <f>NamaPelanggan!C319</f>
        <v>KEB-317</v>
      </c>
      <c r="D320" s="21" t="str">
        <f>NamaPelanggan!D319</f>
        <v>rita sanok</v>
      </c>
      <c r="E320" s="21" t="str">
        <f>NamaPelanggan!E319</f>
        <v>KEBUNDADAP</v>
      </c>
      <c r="F320" s="23">
        <f>NamaPelanggan!H319</f>
        <v>100000</v>
      </c>
      <c r="G320" s="24"/>
      <c r="H320" s="24"/>
      <c r="I320" s="24">
        <v>100000</v>
      </c>
      <c r="J320" s="24"/>
      <c r="K320" s="24"/>
      <c r="L320" s="19" t="str">
        <f t="shared" si="9"/>
        <v>LUNAS</v>
      </c>
      <c r="M320" s="24"/>
      <c r="N320" s="22"/>
      <c r="O320" s="6"/>
      <c r="P320" s="6"/>
      <c r="Q320" s="6"/>
    </row>
    <row r="321" spans="1:17" ht="12.75" customHeight="1" x14ac:dyDescent="0.3">
      <c r="A321" s="6"/>
      <c r="B321" s="19">
        <v>318</v>
      </c>
      <c r="C321" s="20" t="str">
        <f>NamaPelanggan!C320</f>
        <v>KEB-318</v>
      </c>
      <c r="D321" s="21" t="str">
        <f>NamaPelanggan!D320</f>
        <v>rohimsaderi</v>
      </c>
      <c r="E321" s="21" t="str">
        <f>NamaPelanggan!E320</f>
        <v>KEBUNDADAP</v>
      </c>
      <c r="F321" s="23">
        <f>NamaPelanggan!H320</f>
        <v>100000</v>
      </c>
      <c r="G321" s="24"/>
      <c r="H321" s="24"/>
      <c r="I321" s="24">
        <v>100000</v>
      </c>
      <c r="J321" s="24"/>
      <c r="K321" s="24"/>
      <c r="L321" s="19" t="str">
        <f t="shared" si="9"/>
        <v>LUNAS</v>
      </c>
      <c r="M321" s="24"/>
      <c r="N321" s="22"/>
      <c r="O321" s="6"/>
      <c r="P321" s="6"/>
      <c r="Q321" s="6"/>
    </row>
    <row r="322" spans="1:17" ht="12.75" customHeight="1" x14ac:dyDescent="0.3">
      <c r="A322" s="6"/>
      <c r="B322" s="19">
        <v>319</v>
      </c>
      <c r="C322" s="20" t="str">
        <f>NamaPelanggan!C321</f>
        <v>KEB-319</v>
      </c>
      <c r="D322" s="21" t="str">
        <f>NamaPelanggan!D321</f>
        <v>selamet ( p. alfi )</v>
      </c>
      <c r="E322" s="21" t="str">
        <f>NamaPelanggan!E321</f>
        <v>KEBUNDADAP</v>
      </c>
      <c r="F322" s="23">
        <f>NamaPelanggan!H321</f>
        <v>100000</v>
      </c>
      <c r="G322" s="24"/>
      <c r="H322" s="24"/>
      <c r="I322" s="24">
        <v>100000</v>
      </c>
      <c r="J322" s="24"/>
      <c r="K322" s="24"/>
      <c r="L322" s="19" t="str">
        <f t="shared" si="9"/>
        <v>LUNAS</v>
      </c>
      <c r="M322" s="24"/>
      <c r="N322" s="22"/>
      <c r="O322" s="6"/>
      <c r="P322" s="6"/>
      <c r="Q322" s="6"/>
    </row>
    <row r="323" spans="1:17" ht="12.75" customHeight="1" x14ac:dyDescent="0.3">
      <c r="A323" s="6"/>
      <c r="B323" s="19">
        <v>320</v>
      </c>
      <c r="C323" s="20" t="str">
        <f>NamaPelanggan!C322</f>
        <v>KEB-320</v>
      </c>
      <c r="D323" s="21" t="str">
        <f>NamaPelanggan!D322</f>
        <v>suci@bondadap</v>
      </c>
      <c r="E323" s="21" t="str">
        <f>NamaPelanggan!E322</f>
        <v>KEBUNDADAP</v>
      </c>
      <c r="F323" s="23">
        <f>NamaPelanggan!H322</f>
        <v>100000</v>
      </c>
      <c r="G323" s="24"/>
      <c r="H323" s="24"/>
      <c r="I323" s="24"/>
      <c r="J323" s="24"/>
      <c r="K323" s="24"/>
      <c r="L323" s="19" t="str">
        <f t="shared" si="9"/>
        <v>BELUM LUNAS</v>
      </c>
      <c r="M323" s="24">
        <v>100000</v>
      </c>
      <c r="N323" s="22" t="s">
        <v>574</v>
      </c>
      <c r="O323" s="6"/>
      <c r="P323" s="6"/>
      <c r="Q323" s="6"/>
    </row>
    <row r="324" spans="1:17" ht="12.75" customHeight="1" x14ac:dyDescent="0.3">
      <c r="A324" s="6"/>
      <c r="B324" s="19">
        <v>321</v>
      </c>
      <c r="C324" s="20" t="str">
        <f>NamaPelanggan!C323</f>
        <v>KEB-321</v>
      </c>
      <c r="D324" s="21" t="str">
        <f>NamaPelanggan!D323</f>
        <v>sukron</v>
      </c>
      <c r="E324" s="21" t="str">
        <f>NamaPelanggan!E323</f>
        <v>KEBUNDADAP</v>
      </c>
      <c r="F324" s="23">
        <f>NamaPelanggan!H323</f>
        <v>100000</v>
      </c>
      <c r="G324" s="24"/>
      <c r="H324" s="24"/>
      <c r="I324" s="24">
        <v>100000</v>
      </c>
      <c r="J324" s="24"/>
      <c r="K324" s="24"/>
      <c r="L324" s="19" t="str">
        <f t="shared" si="9"/>
        <v>LUNAS</v>
      </c>
      <c r="M324" s="24"/>
      <c r="N324" s="22"/>
      <c r="O324" s="6"/>
      <c r="P324" s="6"/>
      <c r="Q324" s="6"/>
    </row>
    <row r="325" spans="1:17" ht="12.75" customHeight="1" x14ac:dyDescent="0.3">
      <c r="A325" s="6"/>
      <c r="B325" s="19">
        <v>322</v>
      </c>
      <c r="C325" s="20" t="str">
        <f>NamaPelanggan!C324</f>
        <v>KEB-322</v>
      </c>
      <c r="D325" s="21" t="str">
        <f>NamaPelanggan!D324</f>
        <v>sulyadi@reni</v>
      </c>
      <c r="E325" s="21" t="str">
        <f>NamaPelanggan!E324</f>
        <v>KEBUNDADAP</v>
      </c>
      <c r="F325" s="23">
        <f>NamaPelanggan!H324</f>
        <v>100000</v>
      </c>
      <c r="G325" s="24"/>
      <c r="H325" s="24"/>
      <c r="I325" s="24">
        <v>100000</v>
      </c>
      <c r="J325" s="24"/>
      <c r="K325" s="24"/>
      <c r="L325" s="19" t="s">
        <v>548</v>
      </c>
      <c r="M325" s="24">
        <v>200000</v>
      </c>
      <c r="N325" s="22" t="s">
        <v>583</v>
      </c>
      <c r="O325" s="6"/>
      <c r="P325" s="6"/>
      <c r="Q325" s="6"/>
    </row>
    <row r="326" spans="1:17" ht="12.75" customHeight="1" x14ac:dyDescent="0.3">
      <c r="A326" s="6"/>
      <c r="B326" s="19">
        <v>323</v>
      </c>
      <c r="C326" s="20" t="str">
        <f>NamaPelanggan!C325</f>
        <v>KEB-323</v>
      </c>
      <c r="D326" s="21" t="str">
        <f>NamaPelanggan!D325</f>
        <v>supandi / mira</v>
      </c>
      <c r="E326" s="21" t="str">
        <f>NamaPelanggan!E325</f>
        <v>KEBUNDADAP</v>
      </c>
      <c r="F326" s="23">
        <f>NamaPelanggan!H325</f>
        <v>100000</v>
      </c>
      <c r="G326" s="24"/>
      <c r="H326" s="24"/>
      <c r="I326" s="24">
        <v>100000</v>
      </c>
      <c r="J326" s="24"/>
      <c r="K326" s="24"/>
      <c r="L326" s="19" t="str">
        <f t="shared" si="9"/>
        <v>LUNAS</v>
      </c>
      <c r="M326" s="24"/>
      <c r="N326" s="22"/>
      <c r="O326" s="6"/>
      <c r="P326" s="6"/>
      <c r="Q326" s="6"/>
    </row>
    <row r="327" spans="1:17" ht="12.75" customHeight="1" x14ac:dyDescent="0.3">
      <c r="A327" s="6"/>
      <c r="B327" s="19">
        <v>324</v>
      </c>
      <c r="C327" s="20" t="str">
        <f>NamaPelanggan!C326</f>
        <v>KEB-324</v>
      </c>
      <c r="D327" s="21" t="str">
        <f>NamaPelanggan!D326</f>
        <v>suparno@rizki</v>
      </c>
      <c r="E327" s="21" t="str">
        <f>NamaPelanggan!E326</f>
        <v>KEBUNDADAP</v>
      </c>
      <c r="F327" s="23">
        <f>NamaPelanggan!H326</f>
        <v>100000</v>
      </c>
      <c r="G327" s="24"/>
      <c r="H327" s="24"/>
      <c r="I327" s="24"/>
      <c r="J327" s="24"/>
      <c r="K327" s="24"/>
      <c r="L327" s="19" t="str">
        <f t="shared" si="9"/>
        <v>BELUM LUNAS</v>
      </c>
      <c r="M327" s="24">
        <v>100000</v>
      </c>
      <c r="N327" s="22" t="s">
        <v>574</v>
      </c>
      <c r="O327" s="6"/>
      <c r="P327" s="6"/>
      <c r="Q327" s="6"/>
    </row>
    <row r="328" spans="1:17" ht="12.75" customHeight="1" x14ac:dyDescent="0.3">
      <c r="A328" s="6"/>
      <c r="B328" s="19">
        <v>325</v>
      </c>
      <c r="C328" s="20" t="str">
        <f>NamaPelanggan!C327</f>
        <v>KEB-325</v>
      </c>
      <c r="D328" s="21" t="str">
        <f>NamaPelanggan!D327</f>
        <v>supri@bondadap</v>
      </c>
      <c r="E328" s="21" t="str">
        <f>NamaPelanggan!E327</f>
        <v>KEBUNDADAP</v>
      </c>
      <c r="F328" s="23">
        <f>NamaPelanggan!H327</f>
        <v>100000</v>
      </c>
      <c r="G328" s="24"/>
      <c r="H328" s="24"/>
      <c r="I328" s="24"/>
      <c r="J328" s="24"/>
      <c r="K328" s="24"/>
      <c r="L328" s="19" t="str">
        <f t="shared" si="9"/>
        <v>BELUM LUNAS</v>
      </c>
      <c r="M328" s="24">
        <v>100000</v>
      </c>
      <c r="N328" s="22" t="s">
        <v>574</v>
      </c>
      <c r="O328" s="6"/>
      <c r="P328" s="6"/>
      <c r="Q328" s="6"/>
    </row>
    <row r="329" spans="1:17" ht="12.75" customHeight="1" x14ac:dyDescent="0.3">
      <c r="A329" s="6"/>
      <c r="B329" s="19">
        <v>326</v>
      </c>
      <c r="C329" s="20" t="str">
        <f>NamaPelanggan!C328</f>
        <v>KEB-326</v>
      </c>
      <c r="D329" s="21" t="str">
        <f>NamaPelanggan!D328</f>
        <v>suryanto@iqbal</v>
      </c>
      <c r="E329" s="21" t="str">
        <f>NamaPelanggan!E328</f>
        <v>KEBUNDADAP</v>
      </c>
      <c r="F329" s="23">
        <f>NamaPelanggan!H328</f>
        <v>100000</v>
      </c>
      <c r="G329" s="24"/>
      <c r="H329" s="24"/>
      <c r="I329" s="24"/>
      <c r="J329" s="24"/>
      <c r="K329" s="24"/>
      <c r="L329" s="19" t="str">
        <f t="shared" si="9"/>
        <v>BELUM LUNAS</v>
      </c>
      <c r="M329" s="24">
        <v>100000</v>
      </c>
      <c r="N329" s="22" t="s">
        <v>574</v>
      </c>
      <c r="O329" s="6"/>
      <c r="P329" s="6"/>
      <c r="Q329" s="6"/>
    </row>
    <row r="330" spans="1:17" ht="12.75" customHeight="1" x14ac:dyDescent="0.3">
      <c r="A330" s="6"/>
      <c r="B330" s="19">
        <v>327</v>
      </c>
      <c r="C330" s="20" t="str">
        <f>NamaPelanggan!C329</f>
        <v>KEB-327</v>
      </c>
      <c r="D330" s="21" t="str">
        <f>NamaPelanggan!D329</f>
        <v>suwarno@popi</v>
      </c>
      <c r="E330" s="21" t="str">
        <f>NamaPelanggan!E329</f>
        <v>KEBUNDADAP</v>
      </c>
      <c r="F330" s="23">
        <f>NamaPelanggan!H329</f>
        <v>100000</v>
      </c>
      <c r="G330" s="24"/>
      <c r="H330" s="24"/>
      <c r="I330" s="24">
        <v>100000</v>
      </c>
      <c r="J330" s="24"/>
      <c r="K330" s="24"/>
      <c r="L330" s="19" t="str">
        <f t="shared" si="9"/>
        <v>LUNAS</v>
      </c>
      <c r="M330" s="24"/>
      <c r="N330" s="22"/>
      <c r="O330" s="6"/>
      <c r="P330" s="6"/>
      <c r="Q330" s="6"/>
    </row>
    <row r="331" spans="1:17" ht="12.75" customHeight="1" x14ac:dyDescent="0.3">
      <c r="A331" s="6"/>
      <c r="B331" s="19">
        <v>328</v>
      </c>
      <c r="C331" s="20" t="str">
        <f>NamaPelanggan!C330</f>
        <v>KEB-328</v>
      </c>
      <c r="D331" s="21" t="str">
        <f>NamaPelanggan!D330</f>
        <v>tejo@bocil</v>
      </c>
      <c r="E331" s="21" t="str">
        <f>NamaPelanggan!E330</f>
        <v>KEBUNDADAP</v>
      </c>
      <c r="F331" s="23">
        <f>NamaPelanggan!H330</f>
        <v>100000</v>
      </c>
      <c r="G331" s="24"/>
      <c r="H331" s="24"/>
      <c r="I331" s="24">
        <v>100000</v>
      </c>
      <c r="J331" s="24"/>
      <c r="K331" s="24"/>
      <c r="L331" s="19" t="s">
        <v>548</v>
      </c>
      <c r="M331" s="24">
        <v>100000</v>
      </c>
      <c r="N331" s="22" t="s">
        <v>574</v>
      </c>
      <c r="O331" s="6"/>
      <c r="P331" s="6"/>
      <c r="Q331" s="6"/>
    </row>
    <row r="332" spans="1:17" ht="12.75" customHeight="1" x14ac:dyDescent="0.3">
      <c r="A332" s="6"/>
      <c r="B332" s="19">
        <v>329</v>
      </c>
      <c r="C332" s="20" t="str">
        <f>NamaPelanggan!C331</f>
        <v>KEB-329</v>
      </c>
      <c r="D332" s="21" t="str">
        <f>NamaPelanggan!D331</f>
        <v>tinaadis</v>
      </c>
      <c r="E332" s="21" t="str">
        <f>NamaPelanggan!E331</f>
        <v>KEBUNDADAP</v>
      </c>
      <c r="F332" s="23">
        <f>NamaPelanggan!H331</f>
        <v>100000</v>
      </c>
      <c r="G332" s="24"/>
      <c r="H332" s="24"/>
      <c r="I332" s="24">
        <v>100000</v>
      </c>
      <c r="J332" s="24"/>
      <c r="K332" s="24"/>
      <c r="L332" s="19" t="str">
        <f t="shared" si="9"/>
        <v>LUNAS</v>
      </c>
      <c r="M332" s="24"/>
      <c r="N332" s="22"/>
      <c r="O332" s="6"/>
      <c r="P332" s="6"/>
      <c r="Q332" s="6"/>
    </row>
    <row r="333" spans="1:17" ht="12.75" customHeight="1" x14ac:dyDescent="0.3">
      <c r="A333" s="6"/>
      <c r="B333" s="19">
        <v>330</v>
      </c>
      <c r="C333" s="20" t="str">
        <f>NamaPelanggan!C332</f>
        <v>KEB-330</v>
      </c>
      <c r="D333" s="21" t="str">
        <f>NamaPelanggan!D332</f>
        <v>wasil@rul</v>
      </c>
      <c r="E333" s="21" t="str">
        <f>NamaPelanggan!E332</f>
        <v>KEBUNDADAP</v>
      </c>
      <c r="F333" s="23">
        <f>NamaPelanggan!H332</f>
        <v>100000</v>
      </c>
      <c r="G333" s="24"/>
      <c r="H333" s="24"/>
      <c r="I333" s="24">
        <v>100000</v>
      </c>
      <c r="J333" s="24"/>
      <c r="K333" s="24"/>
      <c r="L333" s="19" t="str">
        <f t="shared" si="9"/>
        <v>LUNAS</v>
      </c>
      <c r="M333" s="24"/>
      <c r="N333" s="22"/>
      <c r="O333" s="6"/>
      <c r="P333" s="6"/>
      <c r="Q333" s="6"/>
    </row>
    <row r="334" spans="1:17" ht="12.75" customHeight="1" x14ac:dyDescent="0.3">
      <c r="A334" s="6"/>
      <c r="B334" s="19">
        <v>331</v>
      </c>
      <c r="C334" s="20" t="str">
        <f>NamaPelanggan!C333</f>
        <v>KEB-331</v>
      </c>
      <c r="D334" s="21" t="str">
        <f>NamaPelanggan!D333</f>
        <v>wiwik@winda</v>
      </c>
      <c r="E334" s="21" t="str">
        <f>NamaPelanggan!E333</f>
        <v>KEBUNDADAP</v>
      </c>
      <c r="F334" s="23">
        <f>NamaPelanggan!H333</f>
        <v>100000</v>
      </c>
      <c r="G334" s="24"/>
      <c r="H334" s="24"/>
      <c r="I334" s="24"/>
      <c r="J334" s="24"/>
      <c r="K334" s="24"/>
      <c r="L334" s="19" t="str">
        <f t="shared" si="9"/>
        <v>BELUM LUNAS</v>
      </c>
      <c r="M334" s="24">
        <v>300000</v>
      </c>
      <c r="N334" s="22" t="s">
        <v>583</v>
      </c>
      <c r="O334" s="6"/>
      <c r="P334" s="6"/>
      <c r="Q334" s="6"/>
    </row>
    <row r="335" spans="1:17" ht="12.75" customHeight="1" x14ac:dyDescent="0.3">
      <c r="A335" s="6"/>
      <c r="B335" s="19">
        <v>332</v>
      </c>
      <c r="C335" s="20" t="str">
        <f>NamaPelanggan!C334</f>
        <v>KEB-332</v>
      </c>
      <c r="D335" s="21" t="str">
        <f>NamaPelanggan!D334</f>
        <v>yatik@sok</v>
      </c>
      <c r="E335" s="21" t="str">
        <f>NamaPelanggan!E334</f>
        <v>KEBUNDADAP</v>
      </c>
      <c r="F335" s="23">
        <f>NamaPelanggan!H334</f>
        <v>100000</v>
      </c>
      <c r="G335" s="24"/>
      <c r="H335" s="24"/>
      <c r="I335" s="24">
        <v>100000</v>
      </c>
      <c r="J335" s="24"/>
      <c r="K335" s="24"/>
      <c r="L335" s="19" t="s">
        <v>548</v>
      </c>
      <c r="M335" s="24">
        <v>100000</v>
      </c>
      <c r="N335" s="22" t="s">
        <v>574</v>
      </c>
      <c r="O335" s="6"/>
      <c r="P335" s="6"/>
      <c r="Q335" s="6"/>
    </row>
    <row r="336" spans="1:17" ht="12.75" customHeight="1" x14ac:dyDescent="0.3">
      <c r="A336" s="6"/>
      <c r="B336" s="19">
        <v>333</v>
      </c>
      <c r="C336" s="20" t="str">
        <f>NamaPelanggan!C335</f>
        <v>KEB-333</v>
      </c>
      <c r="D336" s="21" t="str">
        <f>NamaPelanggan!D335</f>
        <v>YUSUF</v>
      </c>
      <c r="E336" s="21" t="str">
        <f>NamaPelanggan!E335</f>
        <v>KEBUNDADAP</v>
      </c>
      <c r="F336" s="23">
        <f>NamaPelanggan!H335</f>
        <v>100000</v>
      </c>
      <c r="G336" s="24"/>
      <c r="H336" s="24"/>
      <c r="I336" s="24">
        <v>100000</v>
      </c>
      <c r="J336" s="24"/>
      <c r="K336" s="24"/>
      <c r="L336" s="19" t="str">
        <f t="shared" si="9"/>
        <v>LUNAS</v>
      </c>
      <c r="M336" s="24"/>
      <c r="N336" s="22"/>
      <c r="O336" s="6"/>
      <c r="P336" s="6"/>
      <c r="Q336" s="6"/>
    </row>
    <row r="337" spans="1:17" ht="12.75" customHeight="1" x14ac:dyDescent="0.3">
      <c r="A337" s="6"/>
      <c r="B337" s="19">
        <v>334</v>
      </c>
      <c r="C337" s="20" t="str">
        <f>NamaPelanggan!C336</f>
        <v>KEB-334</v>
      </c>
      <c r="D337" s="21" t="str">
        <f>NamaPelanggan!D336</f>
        <v>zain@juna</v>
      </c>
      <c r="E337" s="21" t="str">
        <f>NamaPelanggan!E336</f>
        <v>KEBUNDADAP</v>
      </c>
      <c r="F337" s="23">
        <f>NamaPelanggan!H336</f>
        <v>100000</v>
      </c>
      <c r="G337" s="24"/>
      <c r="H337" s="24"/>
      <c r="I337" s="24">
        <v>100000</v>
      </c>
      <c r="J337" s="24"/>
      <c r="K337" s="24"/>
      <c r="L337" s="19" t="str">
        <f t="shared" si="9"/>
        <v>LUNAS</v>
      </c>
      <c r="M337" s="24"/>
      <c r="N337" s="22"/>
      <c r="O337" s="6"/>
      <c r="P337" s="6"/>
      <c r="Q337" s="6"/>
    </row>
    <row r="338" spans="1:17" ht="12.75" customHeight="1" x14ac:dyDescent="0.3">
      <c r="A338" s="6"/>
      <c r="B338" s="19">
        <v>335</v>
      </c>
      <c r="C338" s="20" t="str">
        <f>NamaPelanggan!C337</f>
        <v>KEB-335</v>
      </c>
      <c r="D338" s="21" t="str">
        <f>NamaPelanggan!D337</f>
        <v>BAGAS</v>
      </c>
      <c r="E338" s="21" t="str">
        <f>NamaPelanggan!E337</f>
        <v>KEBUNDADAP</v>
      </c>
      <c r="F338" s="23">
        <f>NamaPelanggan!H337</f>
        <v>100000</v>
      </c>
      <c r="G338" s="24"/>
      <c r="H338" s="24"/>
      <c r="I338" s="24">
        <v>100000</v>
      </c>
      <c r="J338" s="24"/>
      <c r="K338" s="24"/>
      <c r="L338" s="19" t="s">
        <v>548</v>
      </c>
      <c r="M338" s="24">
        <v>200000</v>
      </c>
      <c r="N338" s="22" t="s">
        <v>583</v>
      </c>
      <c r="O338" s="6"/>
      <c r="P338" s="6"/>
      <c r="Q338" s="6"/>
    </row>
    <row r="339" spans="1:17" ht="12.75" customHeight="1" x14ac:dyDescent="0.3">
      <c r="A339" s="6"/>
      <c r="B339" s="19">
        <v>336</v>
      </c>
      <c r="C339" s="20" t="str">
        <f>NamaPelanggan!C338</f>
        <v>KEB-336</v>
      </c>
      <c r="D339" s="21" t="str">
        <f>NamaPelanggan!D338</f>
        <v>DIO</v>
      </c>
      <c r="E339" s="21" t="str">
        <f>NamaPelanggan!E338</f>
        <v>KEBUNDADAP</v>
      </c>
      <c r="F339" s="23">
        <f>NamaPelanggan!H338</f>
        <v>100000</v>
      </c>
      <c r="G339" s="24"/>
      <c r="H339" s="24"/>
      <c r="I339" s="24">
        <v>100000</v>
      </c>
      <c r="J339" s="24"/>
      <c r="K339" s="24"/>
      <c r="L339" s="19" t="str">
        <f t="shared" si="9"/>
        <v>LUNAS</v>
      </c>
      <c r="M339" s="24"/>
      <c r="N339" s="22"/>
      <c r="O339" s="6"/>
      <c r="P339" s="6"/>
      <c r="Q339" s="6"/>
    </row>
    <row r="340" spans="1:17" ht="12.75" customHeight="1" x14ac:dyDescent="0.3">
      <c r="A340" s="6"/>
      <c r="B340" s="19">
        <v>337</v>
      </c>
      <c r="C340" s="20" t="str">
        <f>NamaPelanggan!C339</f>
        <v>KEB-337</v>
      </c>
      <c r="D340" s="21" t="str">
        <f>NamaPelanggan!D339</f>
        <v>EPUL</v>
      </c>
      <c r="E340" s="21" t="str">
        <f>NamaPelanggan!E339</f>
        <v>KEBUNDADAP</v>
      </c>
      <c r="F340" s="23">
        <f>NamaPelanggan!H339</f>
        <v>100000</v>
      </c>
      <c r="G340" s="24"/>
      <c r="H340" s="24"/>
      <c r="I340" s="24"/>
      <c r="J340" s="24"/>
      <c r="K340" s="24"/>
      <c r="L340" s="19" t="str">
        <f t="shared" si="9"/>
        <v>BELUM LUNAS</v>
      </c>
      <c r="M340" s="24">
        <v>100000</v>
      </c>
      <c r="N340" s="22" t="s">
        <v>450</v>
      </c>
      <c r="O340" s="6"/>
      <c r="P340" s="6"/>
      <c r="Q340" s="6"/>
    </row>
    <row r="341" spans="1:17" ht="12.75" customHeight="1" x14ac:dyDescent="0.3">
      <c r="A341" s="6"/>
      <c r="B341" s="19">
        <v>338</v>
      </c>
      <c r="C341" s="20" t="str">
        <f>NamaPelanggan!C340</f>
        <v>KEB-338</v>
      </c>
      <c r="D341" s="21" t="str">
        <f>NamaPelanggan!D340</f>
        <v>ERNA</v>
      </c>
      <c r="E341" s="21" t="str">
        <f>NamaPelanggan!E340</f>
        <v>KEBUNDADAP</v>
      </c>
      <c r="F341" s="23">
        <f>NamaPelanggan!H340</f>
        <v>100000</v>
      </c>
      <c r="G341" s="24"/>
      <c r="H341" s="24"/>
      <c r="I341" s="24">
        <v>100000</v>
      </c>
      <c r="J341" s="24"/>
      <c r="K341" s="24"/>
      <c r="L341" s="19" t="s">
        <v>548</v>
      </c>
      <c r="M341" s="24">
        <v>100000</v>
      </c>
      <c r="N341" s="22" t="s">
        <v>574</v>
      </c>
      <c r="O341" s="6"/>
      <c r="P341" s="6"/>
      <c r="Q341" s="6"/>
    </row>
    <row r="342" spans="1:17" ht="12.75" customHeight="1" x14ac:dyDescent="0.3">
      <c r="A342" s="6"/>
      <c r="B342" s="19">
        <v>339</v>
      </c>
      <c r="C342" s="20" t="str">
        <f>NamaPelanggan!C341</f>
        <v>KEB-339</v>
      </c>
      <c r="D342" s="21" t="str">
        <f>NamaPelanggan!D341</f>
        <v>HASIM</v>
      </c>
      <c r="E342" s="21" t="str">
        <f>NamaPelanggan!E341</f>
        <v>KEBUNDADAP</v>
      </c>
      <c r="F342" s="23">
        <f>NamaPelanggan!H341</f>
        <v>100000</v>
      </c>
      <c r="G342" s="24"/>
      <c r="H342" s="24"/>
      <c r="I342" s="24">
        <v>100000</v>
      </c>
      <c r="J342" s="24"/>
      <c r="K342" s="24"/>
      <c r="L342" s="19" t="str">
        <f t="shared" ref="L342:L402" si="10">IF(SUM(G342:K342)&gt;0,"LUNAS","BELUM LUNAS")</f>
        <v>LUNAS</v>
      </c>
      <c r="M342" s="24"/>
      <c r="N342" s="22"/>
      <c r="O342" s="6"/>
      <c r="P342" s="6"/>
      <c r="Q342" s="6"/>
    </row>
    <row r="343" spans="1:17" ht="12.75" customHeight="1" x14ac:dyDescent="0.3">
      <c r="A343" s="6"/>
      <c r="B343" s="19">
        <v>340</v>
      </c>
      <c r="C343" s="20" t="str">
        <f>NamaPelanggan!C342</f>
        <v>KEB-340</v>
      </c>
      <c r="D343" s="21" t="str">
        <f>NamaPelanggan!D342</f>
        <v>IYAN</v>
      </c>
      <c r="E343" s="21" t="str">
        <f>NamaPelanggan!E342</f>
        <v>KEBUNDADAP</v>
      </c>
      <c r="F343" s="23">
        <f>NamaPelanggan!H342</f>
        <v>100000</v>
      </c>
      <c r="G343" s="24"/>
      <c r="H343" s="24"/>
      <c r="I343" s="24">
        <v>100000</v>
      </c>
      <c r="J343" s="24"/>
      <c r="K343" s="24"/>
      <c r="L343" s="19" t="str">
        <f t="shared" si="10"/>
        <v>LUNAS</v>
      </c>
      <c r="M343" s="24"/>
      <c r="N343" s="22"/>
      <c r="O343" s="6"/>
      <c r="P343" s="6"/>
      <c r="Q343" s="6"/>
    </row>
    <row r="344" spans="1:17" ht="12.75" customHeight="1" x14ac:dyDescent="0.3">
      <c r="A344" s="6"/>
      <c r="B344" s="19">
        <v>341</v>
      </c>
      <c r="C344" s="20" t="str">
        <f>NamaPelanggan!C343</f>
        <v>KEB-341</v>
      </c>
      <c r="D344" s="21" t="str">
        <f>NamaPelanggan!D343</f>
        <v>PAINO</v>
      </c>
      <c r="E344" s="21" t="str">
        <f>NamaPelanggan!E343</f>
        <v>KEBUNDADAP</v>
      </c>
      <c r="F344" s="23">
        <f>NamaPelanggan!H343</f>
        <v>100000</v>
      </c>
      <c r="G344" s="24"/>
      <c r="H344" s="24"/>
      <c r="I344" s="24">
        <v>100000</v>
      </c>
      <c r="J344" s="24"/>
      <c r="K344" s="24"/>
      <c r="L344" s="19" t="str">
        <f t="shared" si="10"/>
        <v>LUNAS</v>
      </c>
      <c r="M344" s="24"/>
      <c r="N344" s="22"/>
      <c r="O344" s="6"/>
      <c r="P344" s="6"/>
      <c r="Q344" s="6"/>
    </row>
    <row r="345" spans="1:17" ht="12.75" customHeight="1" x14ac:dyDescent="0.3">
      <c r="A345" s="6"/>
      <c r="B345" s="19">
        <v>342</v>
      </c>
      <c r="C345" s="20" t="str">
        <f>NamaPelanggan!C344</f>
        <v>KEB-342</v>
      </c>
      <c r="D345" s="21" t="str">
        <f>NamaPelanggan!D344</f>
        <v>RARA</v>
      </c>
      <c r="E345" s="21" t="str">
        <f>NamaPelanggan!E344</f>
        <v>KEBUNDADAP</v>
      </c>
      <c r="F345" s="23">
        <f>NamaPelanggan!H344</f>
        <v>100000</v>
      </c>
      <c r="G345" s="24"/>
      <c r="H345" s="24"/>
      <c r="I345" s="24">
        <v>100000</v>
      </c>
      <c r="J345" s="24"/>
      <c r="K345" s="24"/>
      <c r="L345" s="19" t="str">
        <f t="shared" si="10"/>
        <v>LUNAS</v>
      </c>
      <c r="M345" s="24"/>
      <c r="N345" s="22"/>
      <c r="O345" s="6"/>
      <c r="P345" s="6"/>
      <c r="Q345" s="6"/>
    </row>
    <row r="346" spans="1:17" ht="12.75" customHeight="1" x14ac:dyDescent="0.3">
      <c r="A346" s="6"/>
      <c r="B346" s="19">
        <v>343</v>
      </c>
      <c r="C346" s="20" t="str">
        <f>NamaPelanggan!C345</f>
        <v>KEB-343</v>
      </c>
      <c r="D346" s="21" t="str">
        <f>NamaPelanggan!D345</f>
        <v>RIZAL</v>
      </c>
      <c r="E346" s="21" t="str">
        <f>NamaPelanggan!E345</f>
        <v>KEBUNDADAP</v>
      </c>
      <c r="F346" s="23">
        <f>NamaPelanggan!H345</f>
        <v>100000</v>
      </c>
      <c r="G346" s="24"/>
      <c r="H346" s="24"/>
      <c r="I346" s="24">
        <v>100000</v>
      </c>
      <c r="J346" s="24"/>
      <c r="K346" s="24"/>
      <c r="L346" s="19" t="str">
        <f t="shared" si="10"/>
        <v>LUNAS</v>
      </c>
      <c r="M346" s="24"/>
      <c r="N346" s="22"/>
      <c r="O346" s="6"/>
      <c r="P346" s="6"/>
      <c r="Q346" s="6"/>
    </row>
    <row r="347" spans="1:17" ht="12.75" customHeight="1" x14ac:dyDescent="0.3">
      <c r="A347" s="6"/>
      <c r="B347" s="19">
        <v>344</v>
      </c>
      <c r="C347" s="20" t="str">
        <f>NamaPelanggan!C346</f>
        <v>KEB-344</v>
      </c>
      <c r="D347" s="21" t="str">
        <f>NamaPelanggan!D346</f>
        <v>yanto/ ayuk</v>
      </c>
      <c r="E347" s="21" t="str">
        <f>NamaPelanggan!E346</f>
        <v>KEBUNDADAP</v>
      </c>
      <c r="F347" s="23">
        <f>NamaPelanggan!H346</f>
        <v>100000</v>
      </c>
      <c r="G347" s="24"/>
      <c r="H347" s="24"/>
      <c r="I347" s="24">
        <v>100000</v>
      </c>
      <c r="J347" s="24"/>
      <c r="K347" s="24"/>
      <c r="L347" s="19" t="s">
        <v>548</v>
      </c>
      <c r="M347" s="24">
        <v>100000</v>
      </c>
      <c r="N347" s="22" t="s">
        <v>574</v>
      </c>
      <c r="O347" s="6"/>
      <c r="P347" s="6"/>
      <c r="Q347" s="6"/>
    </row>
    <row r="348" spans="1:17" ht="12.75" customHeight="1" x14ac:dyDescent="0.3">
      <c r="A348" s="6"/>
      <c r="B348" s="19">
        <v>345</v>
      </c>
      <c r="C348" s="20" t="str">
        <f>NamaPelanggan!C347</f>
        <v>KEB-345</v>
      </c>
      <c r="D348" s="21" t="str">
        <f>NamaPelanggan!D347</f>
        <v>giyanto</v>
      </c>
      <c r="E348" s="21" t="str">
        <f>NamaPelanggan!E347</f>
        <v>KEBUNDADAP</v>
      </c>
      <c r="F348" s="23">
        <f>NamaPelanggan!H347</f>
        <v>100000</v>
      </c>
      <c r="G348" s="24"/>
      <c r="H348" s="24"/>
      <c r="I348" s="24">
        <v>100000</v>
      </c>
      <c r="J348" s="24"/>
      <c r="K348" s="24"/>
      <c r="L348" s="19" t="str">
        <f t="shared" si="10"/>
        <v>LUNAS</v>
      </c>
      <c r="M348" s="24"/>
      <c r="N348" s="22"/>
      <c r="O348" s="6"/>
      <c r="P348" s="6"/>
      <c r="Q348" s="6"/>
    </row>
    <row r="349" spans="1:17" ht="12.75" customHeight="1" x14ac:dyDescent="0.3">
      <c r="A349" s="6"/>
      <c r="B349" s="19">
        <v>346</v>
      </c>
      <c r="C349" s="20" t="str">
        <f>NamaPelanggan!C348</f>
        <v>KEB-346</v>
      </c>
      <c r="D349" s="21" t="str">
        <f>NamaPelanggan!D348</f>
        <v>jumaani</v>
      </c>
      <c r="E349" s="21" t="str">
        <f>NamaPelanggan!E348</f>
        <v>KEBUNDADAP</v>
      </c>
      <c r="F349" s="23">
        <f>NamaPelanggan!H348</f>
        <v>100000</v>
      </c>
      <c r="G349" s="24"/>
      <c r="H349" s="24"/>
      <c r="I349" s="24">
        <v>100000</v>
      </c>
      <c r="J349" s="24"/>
      <c r="K349" s="24"/>
      <c r="L349" s="19" t="str">
        <f t="shared" si="10"/>
        <v>LUNAS</v>
      </c>
      <c r="M349" s="24"/>
      <c r="N349" s="22"/>
      <c r="O349" s="6"/>
      <c r="P349" s="6"/>
      <c r="Q349" s="6"/>
    </row>
    <row r="350" spans="1:17" ht="12.75" customHeight="1" x14ac:dyDescent="0.3">
      <c r="A350" s="6"/>
      <c r="B350" s="19">
        <v>347</v>
      </c>
      <c r="C350" s="20" t="str">
        <f>NamaPelanggan!C349</f>
        <v>KEB-347</v>
      </c>
      <c r="D350" s="21" t="str">
        <f>NamaPelanggan!D349</f>
        <v>b.lilik</v>
      </c>
      <c r="E350" s="21" t="str">
        <f>NamaPelanggan!E349</f>
        <v>KEBUNDADAP</v>
      </c>
      <c r="F350" s="23">
        <f>NamaPelanggan!H349</f>
        <v>100000</v>
      </c>
      <c r="G350" s="24"/>
      <c r="H350" s="24"/>
      <c r="I350" s="24">
        <v>100000</v>
      </c>
      <c r="J350" s="24"/>
      <c r="K350" s="24"/>
      <c r="L350" s="19" t="str">
        <f t="shared" si="10"/>
        <v>LUNAS</v>
      </c>
      <c r="M350" s="24"/>
      <c r="N350" s="22"/>
      <c r="O350" s="6"/>
      <c r="P350" s="6"/>
      <c r="Q350" s="6"/>
    </row>
    <row r="351" spans="1:17" ht="12.75" customHeight="1" x14ac:dyDescent="0.3">
      <c r="A351" s="6"/>
      <c r="B351" s="19">
        <v>348</v>
      </c>
      <c r="C351" s="20" t="str">
        <f>NamaPelanggan!C350</f>
        <v>KEB-348</v>
      </c>
      <c r="D351" s="21" t="str">
        <f>NamaPelanggan!D350</f>
        <v>ridho</v>
      </c>
      <c r="E351" s="21" t="str">
        <f>NamaPelanggan!E350</f>
        <v>KEBUNDADAP</v>
      </c>
      <c r="F351" s="23">
        <f>NamaPelanggan!H350</f>
        <v>100000</v>
      </c>
      <c r="G351" s="24"/>
      <c r="H351" s="24"/>
      <c r="I351" s="24">
        <v>100000</v>
      </c>
      <c r="J351" s="24"/>
      <c r="K351" s="24"/>
      <c r="L351" s="19" t="str">
        <f t="shared" si="10"/>
        <v>LUNAS</v>
      </c>
      <c r="M351" s="24"/>
      <c r="N351" s="22"/>
      <c r="O351" s="6"/>
      <c r="P351" s="6"/>
      <c r="Q351" s="6"/>
    </row>
    <row r="352" spans="1:17" ht="12.75" customHeight="1" x14ac:dyDescent="0.3">
      <c r="A352" s="6"/>
      <c r="B352" s="19">
        <v>349</v>
      </c>
      <c r="C352" s="20" t="str">
        <f>NamaPelanggan!C351</f>
        <v>KEB-349</v>
      </c>
      <c r="D352" s="21" t="str">
        <f>NamaPelanggan!D351</f>
        <v>wawan</v>
      </c>
      <c r="E352" s="21" t="str">
        <f>NamaPelanggan!E351</f>
        <v>KEBUNDADAP</v>
      </c>
      <c r="F352" s="23">
        <f>NamaPelanggan!H351</f>
        <v>100000</v>
      </c>
      <c r="G352" s="24"/>
      <c r="H352" s="24"/>
      <c r="I352" s="24">
        <v>100000</v>
      </c>
      <c r="J352" s="24"/>
      <c r="K352" s="24"/>
      <c r="L352" s="19" t="str">
        <f t="shared" si="10"/>
        <v>LUNAS</v>
      </c>
      <c r="M352" s="24"/>
      <c r="N352" s="22"/>
      <c r="O352" s="6"/>
      <c r="P352" s="6"/>
      <c r="Q352" s="6"/>
    </row>
    <row r="353" spans="1:17" ht="12.75" customHeight="1" x14ac:dyDescent="0.3">
      <c r="A353" s="6"/>
      <c r="B353" s="19">
        <v>350</v>
      </c>
      <c r="C353" s="20" t="str">
        <f>NamaPelanggan!C352</f>
        <v>KEB-350</v>
      </c>
      <c r="D353" s="21" t="str">
        <f>NamaPelanggan!D352</f>
        <v>ilzam</v>
      </c>
      <c r="E353" s="21" t="str">
        <f>NamaPelanggan!E352</f>
        <v>KEBUNDADAP</v>
      </c>
      <c r="F353" s="23">
        <f>NamaPelanggan!H352</f>
        <v>100000</v>
      </c>
      <c r="G353" s="24"/>
      <c r="H353" s="24"/>
      <c r="I353" s="24">
        <v>100000</v>
      </c>
      <c r="J353" s="24"/>
      <c r="K353" s="24"/>
      <c r="L353" s="19" t="str">
        <f t="shared" si="10"/>
        <v>LUNAS</v>
      </c>
      <c r="M353" s="24"/>
      <c r="N353" s="22"/>
      <c r="O353" s="6"/>
      <c r="P353" s="6"/>
      <c r="Q353" s="6"/>
    </row>
    <row r="354" spans="1:17" ht="12.75" customHeight="1" x14ac:dyDescent="0.3">
      <c r="A354" s="6"/>
      <c r="B354" s="19">
        <v>351</v>
      </c>
      <c r="C354" s="20" t="str">
        <f>NamaPelanggan!C353</f>
        <v>KEB-351</v>
      </c>
      <c r="D354" s="21" t="str">
        <f>NamaPelanggan!D353</f>
        <v>kasun musahwi</v>
      </c>
      <c r="E354" s="21" t="str">
        <f>NamaPelanggan!E353</f>
        <v>KEBUNDADAP</v>
      </c>
      <c r="F354" s="23">
        <f>NamaPelanggan!H353</f>
        <v>100000</v>
      </c>
      <c r="G354" s="24"/>
      <c r="H354" s="24"/>
      <c r="I354" s="24">
        <v>100000</v>
      </c>
      <c r="J354" s="24"/>
      <c r="K354" s="24"/>
      <c r="L354" s="19" t="str">
        <f t="shared" si="10"/>
        <v>LUNAS</v>
      </c>
      <c r="M354" s="24"/>
      <c r="N354" s="22"/>
      <c r="O354" s="6"/>
      <c r="P354" s="6"/>
      <c r="Q354" s="6"/>
    </row>
    <row r="355" spans="1:17" ht="12.75" customHeight="1" x14ac:dyDescent="0.3">
      <c r="A355" s="6"/>
      <c r="B355" s="19">
        <v>352</v>
      </c>
      <c r="C355" s="20" t="str">
        <f>NamaPelanggan!C354</f>
        <v>KEB-352</v>
      </c>
      <c r="D355" s="21" t="str">
        <f>NamaPelanggan!D354</f>
        <v>sigit</v>
      </c>
      <c r="E355" s="21" t="str">
        <f>NamaPelanggan!E354</f>
        <v>KEBUNDADAP</v>
      </c>
      <c r="F355" s="23">
        <f>NamaPelanggan!H354</f>
        <v>100000</v>
      </c>
      <c r="G355" s="24"/>
      <c r="H355" s="24"/>
      <c r="I355" s="24">
        <v>100000</v>
      </c>
      <c r="J355" s="24"/>
      <c r="K355" s="24"/>
      <c r="L355" s="19" t="str">
        <f t="shared" si="10"/>
        <v>LUNAS</v>
      </c>
      <c r="M355" s="24"/>
      <c r="N355" s="22"/>
      <c r="O355" s="6"/>
      <c r="P355" s="6"/>
      <c r="Q355" s="6"/>
    </row>
    <row r="356" spans="1:17" ht="12.75" customHeight="1" x14ac:dyDescent="0.3">
      <c r="A356" s="6"/>
      <c r="B356" s="19">
        <v>353</v>
      </c>
      <c r="C356" s="20" t="str">
        <f>NamaPelanggan!C355</f>
        <v>KEB-353</v>
      </c>
      <c r="D356" s="21" t="str">
        <f>NamaPelanggan!D355</f>
        <v>hedi</v>
      </c>
      <c r="E356" s="21" t="str">
        <f>NamaPelanggan!E355</f>
        <v>KEBUNDADAP</v>
      </c>
      <c r="F356" s="23">
        <f>NamaPelanggan!H355</f>
        <v>100000</v>
      </c>
      <c r="G356" s="24"/>
      <c r="H356" s="24"/>
      <c r="I356" s="24">
        <v>200000</v>
      </c>
      <c r="J356" s="24"/>
      <c r="K356" s="24"/>
      <c r="L356" s="19" t="str">
        <f t="shared" si="10"/>
        <v>LUNAS</v>
      </c>
      <c r="M356" s="24"/>
      <c r="N356" s="22"/>
      <c r="O356" s="6"/>
      <c r="P356" s="6"/>
      <c r="Q356" s="6"/>
    </row>
    <row r="357" spans="1:17" ht="12.75" customHeight="1" x14ac:dyDescent="0.3">
      <c r="A357" s="6"/>
      <c r="B357" s="19">
        <v>354</v>
      </c>
      <c r="C357" s="20" t="str">
        <f>NamaPelanggan!C356</f>
        <v>KEB-354</v>
      </c>
      <c r="D357" s="21" t="str">
        <f>NamaPelanggan!D356</f>
        <v>silvi</v>
      </c>
      <c r="E357" s="21" t="str">
        <f>NamaPelanggan!E356</f>
        <v>KEBUNDADAP</v>
      </c>
      <c r="F357" s="23">
        <f>NamaPelanggan!H356</f>
        <v>100000</v>
      </c>
      <c r="G357" s="24"/>
      <c r="H357" s="24"/>
      <c r="I357" s="24">
        <v>200000</v>
      </c>
      <c r="J357" s="24"/>
      <c r="K357" s="24"/>
      <c r="L357" s="19" t="str">
        <f t="shared" si="10"/>
        <v>LUNAS</v>
      </c>
      <c r="M357" s="24"/>
      <c r="N357" s="22"/>
      <c r="O357" s="6"/>
      <c r="P357" s="6"/>
      <c r="Q357" s="6"/>
    </row>
    <row r="358" spans="1:17" ht="12.75" customHeight="1" x14ac:dyDescent="0.3">
      <c r="A358" s="6"/>
      <c r="B358" s="19">
        <v>355</v>
      </c>
      <c r="C358" s="20" t="str">
        <f>NamaPelanggan!C357</f>
        <v>KEB-355</v>
      </c>
      <c r="D358" s="21" t="str">
        <f>NamaPelanggan!D357</f>
        <v>dimas</v>
      </c>
      <c r="E358" s="21" t="str">
        <f>NamaPelanggan!E357</f>
        <v>KEBUNDADAP</v>
      </c>
      <c r="F358" s="23">
        <f>NamaPelanggan!H357</f>
        <v>100000</v>
      </c>
      <c r="G358" s="24"/>
      <c r="H358" s="24"/>
      <c r="I358" s="24">
        <v>100000</v>
      </c>
      <c r="J358" s="24"/>
      <c r="K358" s="24"/>
      <c r="L358" s="19" t="str">
        <f t="shared" si="10"/>
        <v>LUNAS</v>
      </c>
      <c r="M358" s="24"/>
      <c r="N358" s="22"/>
      <c r="O358" s="6"/>
      <c r="P358" s="6"/>
      <c r="Q358" s="6"/>
    </row>
    <row r="359" spans="1:17" ht="12.75" customHeight="1" x14ac:dyDescent="0.3">
      <c r="A359" s="6"/>
      <c r="B359" s="19">
        <v>356</v>
      </c>
      <c r="C359" s="20" t="str">
        <f>NamaPelanggan!C358</f>
        <v>KEB-356</v>
      </c>
      <c r="D359" s="21" t="str">
        <f>NamaPelanggan!D358</f>
        <v>imron</v>
      </c>
      <c r="E359" s="21" t="str">
        <f>NamaPelanggan!E358</f>
        <v>KEBUNDADAP</v>
      </c>
      <c r="F359" s="23">
        <f>NamaPelanggan!H358</f>
        <v>100000</v>
      </c>
      <c r="G359" s="24"/>
      <c r="H359" s="24"/>
      <c r="I359" s="24">
        <v>100000</v>
      </c>
      <c r="J359" s="24"/>
      <c r="K359" s="24"/>
      <c r="L359" s="19" t="str">
        <f t="shared" si="10"/>
        <v>LUNAS</v>
      </c>
      <c r="M359" s="24"/>
      <c r="N359" s="22"/>
      <c r="O359" s="6"/>
      <c r="P359" s="6"/>
      <c r="Q359" s="6"/>
    </row>
    <row r="360" spans="1:17" ht="12.75" customHeight="1" x14ac:dyDescent="0.3">
      <c r="A360" s="6"/>
      <c r="B360" s="19">
        <v>357</v>
      </c>
      <c r="C360" s="20" t="str">
        <f>NamaPelanggan!C359</f>
        <v>KEB-357</v>
      </c>
      <c r="D360" s="21" t="str">
        <f>NamaPelanggan!D359</f>
        <v>yono@rindi</v>
      </c>
      <c r="E360" s="21" t="str">
        <f>NamaPelanggan!E359</f>
        <v>KEBUNDADAP</v>
      </c>
      <c r="F360" s="23">
        <f>NamaPelanggan!H359</f>
        <v>100000</v>
      </c>
      <c r="G360" s="24"/>
      <c r="H360" s="24"/>
      <c r="I360" s="24">
        <v>100000</v>
      </c>
      <c r="J360" s="24"/>
      <c r="K360" s="24"/>
      <c r="L360" s="19" t="str">
        <f t="shared" si="10"/>
        <v>LUNAS</v>
      </c>
      <c r="M360" s="24"/>
      <c r="N360" s="22"/>
      <c r="O360" s="6"/>
      <c r="P360" s="6"/>
      <c r="Q360" s="6"/>
    </row>
    <row r="361" spans="1:17" ht="12.75" customHeight="1" x14ac:dyDescent="0.3">
      <c r="A361" s="6"/>
      <c r="B361" s="19">
        <v>358</v>
      </c>
      <c r="C361" s="20" t="str">
        <f>NamaPelanggan!C360</f>
        <v>KEB-358</v>
      </c>
      <c r="D361" s="21" t="str">
        <f>NamaPelanggan!D360</f>
        <v>RAFKA</v>
      </c>
      <c r="E361" s="21" t="str">
        <f>NamaPelanggan!E360</f>
        <v>KEBUNDADAP</v>
      </c>
      <c r="F361" s="23">
        <f>NamaPelanggan!H360</f>
        <v>100000</v>
      </c>
      <c r="G361" s="24"/>
      <c r="H361" s="24"/>
      <c r="I361" s="24">
        <v>100000</v>
      </c>
      <c r="J361" s="24"/>
      <c r="K361" s="24"/>
      <c r="L361" s="19" t="str">
        <f t="shared" si="10"/>
        <v>LUNAS</v>
      </c>
      <c r="M361" s="24"/>
      <c r="N361" s="22"/>
      <c r="O361" s="6"/>
      <c r="P361" s="6"/>
      <c r="Q361" s="6"/>
    </row>
    <row r="362" spans="1:17" ht="12.75" customHeight="1" x14ac:dyDescent="0.3">
      <c r="A362" s="6"/>
      <c r="B362" s="19">
        <v>359</v>
      </c>
      <c r="C362" s="20" t="str">
        <f>NamaPelanggan!C361</f>
        <v>KEB-359</v>
      </c>
      <c r="D362" s="21" t="str">
        <f>NamaPelanggan!D361</f>
        <v>Sumaini</v>
      </c>
      <c r="E362" s="21" t="str">
        <f>NamaPelanggan!E361</f>
        <v>KEBUNDADAP</v>
      </c>
      <c r="F362" s="23">
        <f>NamaPelanggan!H361</f>
        <v>100000</v>
      </c>
      <c r="G362" s="24"/>
      <c r="H362" s="24"/>
      <c r="I362" s="24"/>
      <c r="J362" s="24"/>
      <c r="K362" s="24"/>
      <c r="L362" s="19" t="str">
        <f t="shared" si="10"/>
        <v>BELUM LUNAS</v>
      </c>
      <c r="M362" s="24">
        <v>200000</v>
      </c>
      <c r="N362" s="22" t="s">
        <v>583</v>
      </c>
      <c r="O362" s="6"/>
      <c r="P362" s="6"/>
      <c r="Q362" s="6"/>
    </row>
    <row r="363" spans="1:17" ht="12.75" customHeight="1" x14ac:dyDescent="0.3">
      <c r="A363" s="6"/>
      <c r="B363" s="19">
        <v>360</v>
      </c>
      <c r="C363" s="20" t="str">
        <f>NamaPelanggan!C362</f>
        <v>KEB-360</v>
      </c>
      <c r="D363" s="21" t="str">
        <f>NamaPelanggan!D362</f>
        <v>Sutri</v>
      </c>
      <c r="E363" s="21" t="str">
        <f>NamaPelanggan!E362</f>
        <v>KEBUNDADAP</v>
      </c>
      <c r="F363" s="23">
        <f>NamaPelanggan!H362</f>
        <v>100000</v>
      </c>
      <c r="G363" s="24"/>
      <c r="H363" s="24"/>
      <c r="I363" s="24">
        <v>100000</v>
      </c>
      <c r="J363" s="24"/>
      <c r="K363" s="24"/>
      <c r="L363" s="19" t="str">
        <f t="shared" si="10"/>
        <v>LUNAS</v>
      </c>
      <c r="M363" s="24"/>
      <c r="N363" s="22"/>
      <c r="O363" s="6"/>
      <c r="P363" s="6"/>
      <c r="Q363" s="6"/>
    </row>
    <row r="364" spans="1:17" ht="12.75" customHeight="1" x14ac:dyDescent="0.3">
      <c r="A364" s="6"/>
      <c r="B364" s="19">
        <v>361</v>
      </c>
      <c r="C364" s="20" t="str">
        <f>NamaPelanggan!C363</f>
        <v>KEB-361</v>
      </c>
      <c r="D364" s="21" t="str">
        <f>NamaPelanggan!D363</f>
        <v>SAMSUL</v>
      </c>
      <c r="E364" s="21" t="str">
        <f>NamaPelanggan!E363</f>
        <v>KEBUNDADAP</v>
      </c>
      <c r="F364" s="23">
        <f>NamaPelanggan!H363</f>
        <v>100000</v>
      </c>
      <c r="G364" s="24"/>
      <c r="H364" s="24"/>
      <c r="I364" s="24">
        <v>100000</v>
      </c>
      <c r="J364" s="24"/>
      <c r="K364" s="24"/>
      <c r="L364" s="19" t="str">
        <f t="shared" si="10"/>
        <v>LUNAS</v>
      </c>
      <c r="M364" s="24"/>
      <c r="N364" s="22"/>
      <c r="O364" s="6"/>
      <c r="P364" s="6"/>
      <c r="Q364" s="6"/>
    </row>
    <row r="365" spans="1:17" ht="12.75" customHeight="1" x14ac:dyDescent="0.3">
      <c r="A365" s="6"/>
      <c r="B365" s="19">
        <v>362</v>
      </c>
      <c r="C365" s="20" t="str">
        <f>NamaPelanggan!C364</f>
        <v>KEB-362</v>
      </c>
      <c r="D365" s="21" t="str">
        <f>NamaPelanggan!D364</f>
        <v>aldivoli</v>
      </c>
      <c r="E365" s="21" t="str">
        <f>NamaPelanggan!E364</f>
        <v>KEBUNDADAP</v>
      </c>
      <c r="F365" s="23">
        <f>NamaPelanggan!H364</f>
        <v>75000</v>
      </c>
      <c r="G365" s="24"/>
      <c r="H365" s="24"/>
      <c r="I365" s="24">
        <v>100000</v>
      </c>
      <c r="J365" s="24"/>
      <c r="K365" s="24"/>
      <c r="L365" s="19" t="s">
        <v>550</v>
      </c>
      <c r="M365" s="24"/>
      <c r="N365" s="22"/>
      <c r="O365" s="6"/>
      <c r="P365" s="6"/>
      <c r="Q365" s="6"/>
    </row>
    <row r="366" spans="1:17" ht="12.75" customHeight="1" x14ac:dyDescent="0.3">
      <c r="A366" s="6"/>
      <c r="B366" s="19">
        <v>363</v>
      </c>
      <c r="C366" s="20" t="str">
        <f>NamaPelanggan!C365</f>
        <v>KEB-363</v>
      </c>
      <c r="D366" s="21" t="str">
        <f>NamaPelanggan!D365</f>
        <v>p. sak siti / blm app</v>
      </c>
      <c r="E366" s="21" t="str">
        <f>NamaPelanggan!E365</f>
        <v>KEBUNDADAP</v>
      </c>
      <c r="F366" s="23">
        <f>NamaPelanggan!H365</f>
        <v>75000</v>
      </c>
      <c r="G366" s="24"/>
      <c r="H366" s="24"/>
      <c r="I366" s="24"/>
      <c r="J366" s="24"/>
      <c r="K366" s="24"/>
      <c r="L366" s="19" t="str">
        <f t="shared" si="10"/>
        <v>BELUM LUNAS</v>
      </c>
      <c r="M366" s="24">
        <v>250000</v>
      </c>
      <c r="N366" s="22" t="s">
        <v>576</v>
      </c>
      <c r="O366" s="6"/>
      <c r="P366" s="6"/>
      <c r="Q366" s="6"/>
    </row>
    <row r="367" spans="1:17" ht="12.75" customHeight="1" x14ac:dyDescent="0.3">
      <c r="A367" s="6"/>
      <c r="B367" s="19">
        <v>364</v>
      </c>
      <c r="C367" s="20" t="str">
        <f>NamaPelanggan!C366</f>
        <v>KEB-364</v>
      </c>
      <c r="D367" s="21" t="str">
        <f>NamaPelanggan!D366</f>
        <v>natan</v>
      </c>
      <c r="E367" s="21" t="str">
        <f>NamaPelanggan!E366</f>
        <v>KEBUNDADAP</v>
      </c>
      <c r="F367" s="23">
        <f>NamaPelanggan!H366</f>
        <v>100000</v>
      </c>
      <c r="G367" s="24"/>
      <c r="H367" s="24"/>
      <c r="I367" s="24"/>
      <c r="J367" s="24"/>
      <c r="K367" s="24"/>
      <c r="L367" s="19" t="str">
        <f t="shared" si="10"/>
        <v>BELUM LUNAS</v>
      </c>
      <c r="M367" s="24">
        <v>800000</v>
      </c>
      <c r="N367" s="22" t="s">
        <v>575</v>
      </c>
      <c r="O367" s="6"/>
      <c r="P367" s="6"/>
      <c r="Q367" s="6"/>
    </row>
    <row r="368" spans="1:17" ht="12.75" customHeight="1" x14ac:dyDescent="0.3">
      <c r="A368" s="6"/>
      <c r="B368" s="19">
        <v>365</v>
      </c>
      <c r="C368" s="20" t="str">
        <f>NamaPelanggan!C367</f>
        <v>KEB-365</v>
      </c>
      <c r="D368" s="21" t="str">
        <f>NamaPelanggan!D367</f>
        <v>windi</v>
      </c>
      <c r="E368" s="21" t="str">
        <f>NamaPelanggan!E367</f>
        <v>KEBUNDADAP</v>
      </c>
      <c r="F368" s="23">
        <f>NamaPelanggan!H367</f>
        <v>100000</v>
      </c>
      <c r="G368" s="24"/>
      <c r="H368" s="24"/>
      <c r="I368" s="24">
        <v>100000</v>
      </c>
      <c r="J368" s="24"/>
      <c r="K368" s="24"/>
      <c r="L368" s="19" t="s">
        <v>548</v>
      </c>
      <c r="M368" s="24">
        <v>100000</v>
      </c>
      <c r="N368" s="22" t="s">
        <v>574</v>
      </c>
      <c r="O368" s="6"/>
      <c r="P368" s="6"/>
      <c r="Q368" s="6"/>
    </row>
    <row r="369" spans="1:17" ht="12.75" customHeight="1" x14ac:dyDescent="0.3">
      <c r="A369" s="6"/>
      <c r="B369" s="19">
        <v>366</v>
      </c>
      <c r="C369" s="20" t="str">
        <f>NamaPelanggan!C368</f>
        <v>KEB-366</v>
      </c>
      <c r="D369" s="21" t="str">
        <f>NamaPelanggan!D368</f>
        <v>alfarel</v>
      </c>
      <c r="E369" s="21" t="str">
        <f>NamaPelanggan!E368</f>
        <v>KEBUNDADAP</v>
      </c>
      <c r="F369" s="23">
        <f>NamaPelanggan!H368</f>
        <v>100000</v>
      </c>
      <c r="G369" s="24"/>
      <c r="H369" s="24"/>
      <c r="I369" s="24"/>
      <c r="J369" s="24"/>
      <c r="K369" s="24"/>
      <c r="L369" s="19" t="str">
        <f t="shared" si="10"/>
        <v>BELUM LUNAS</v>
      </c>
      <c r="M369" s="24">
        <v>200000</v>
      </c>
      <c r="N369" s="22" t="s">
        <v>583</v>
      </c>
      <c r="O369" s="6"/>
      <c r="P369" s="6"/>
      <c r="Q369" s="6"/>
    </row>
    <row r="370" spans="1:17" ht="12.75" customHeight="1" x14ac:dyDescent="0.3">
      <c r="A370" s="6"/>
      <c r="B370" s="19">
        <v>367</v>
      </c>
      <c r="C370" s="20" t="str">
        <f>NamaPelanggan!C369</f>
        <v>KEB-367</v>
      </c>
      <c r="D370" s="21" t="str">
        <f>NamaPelanggan!D369</f>
        <v>arling@bondadap</v>
      </c>
      <c r="E370" s="21" t="str">
        <f>NamaPelanggan!E369</f>
        <v>KEBUNDADAP</v>
      </c>
      <c r="F370" s="23">
        <f>NamaPelanggan!H369</f>
        <v>75000</v>
      </c>
      <c r="G370" s="24"/>
      <c r="H370" s="24"/>
      <c r="I370" s="24"/>
      <c r="J370" s="24"/>
      <c r="K370" s="24"/>
      <c r="L370" s="19" t="str">
        <f t="shared" si="10"/>
        <v>BELUM LUNAS</v>
      </c>
      <c r="M370" s="24">
        <v>200000</v>
      </c>
      <c r="N370" s="22" t="s">
        <v>583</v>
      </c>
      <c r="O370" s="6"/>
      <c r="P370" s="6"/>
      <c r="Q370" s="6"/>
    </row>
    <row r="371" spans="1:17" ht="12.75" customHeight="1" x14ac:dyDescent="0.3">
      <c r="A371" s="6"/>
      <c r="B371" s="19">
        <v>368</v>
      </c>
      <c r="C371" s="20" t="str">
        <f>NamaPelanggan!C370</f>
        <v>KEB-368</v>
      </c>
      <c r="D371" s="21" t="str">
        <f>NamaPelanggan!D370</f>
        <v>dita</v>
      </c>
      <c r="E371" s="21" t="str">
        <f>NamaPelanggan!E370</f>
        <v>KEBUNDADAP</v>
      </c>
      <c r="F371" s="23" t="str">
        <f>NamaPelanggan!H370</f>
        <v>free</v>
      </c>
      <c r="G371" s="24"/>
      <c r="H371" s="24"/>
      <c r="I371" s="24"/>
      <c r="J371" s="24"/>
      <c r="K371" s="24"/>
      <c r="L371" s="19" t="s">
        <v>550</v>
      </c>
      <c r="M371" s="24"/>
      <c r="N371" s="22"/>
      <c r="O371" s="6"/>
      <c r="P371" s="6"/>
      <c r="Q371" s="6"/>
    </row>
    <row r="372" spans="1:17" ht="12.75" customHeight="1" x14ac:dyDescent="0.3">
      <c r="A372" s="6"/>
      <c r="B372" s="19">
        <v>369</v>
      </c>
      <c r="C372" s="20" t="str">
        <f>NamaPelanggan!C371</f>
        <v>SUM-369</v>
      </c>
      <c r="D372" s="21" t="str">
        <f>NamaPelanggan!D371</f>
        <v>adi</v>
      </c>
      <c r="E372" s="21" t="str">
        <f>NamaPelanggan!E371</f>
        <v>SUMBERWATU</v>
      </c>
      <c r="F372" s="23">
        <f>NamaPelanggan!H371</f>
        <v>100000</v>
      </c>
      <c r="G372" s="24"/>
      <c r="H372" s="24"/>
      <c r="I372" s="24">
        <v>100000</v>
      </c>
      <c r="J372" s="24"/>
      <c r="K372" s="24"/>
      <c r="L372" s="19" t="str">
        <f t="shared" si="10"/>
        <v>LUNAS</v>
      </c>
      <c r="M372" s="24"/>
      <c r="N372" s="22"/>
      <c r="O372" s="6"/>
      <c r="P372" s="6"/>
      <c r="Q372" s="6"/>
    </row>
    <row r="373" spans="1:17" ht="12.75" customHeight="1" x14ac:dyDescent="0.3">
      <c r="A373" s="6"/>
      <c r="B373" s="19">
        <v>370</v>
      </c>
      <c r="C373" s="20" t="str">
        <f>NamaPelanggan!C372</f>
        <v>SUM-370</v>
      </c>
      <c r="D373" s="21" t="str">
        <f>NamaPelanggan!D372</f>
        <v>ADI@KAKA</v>
      </c>
      <c r="E373" s="21" t="str">
        <f>NamaPelanggan!E372</f>
        <v>SUMBERWATU</v>
      </c>
      <c r="F373" s="23">
        <f>NamaPelanggan!H372</f>
        <v>100000</v>
      </c>
      <c r="G373" s="24"/>
      <c r="H373" s="24"/>
      <c r="I373" s="24">
        <v>100000</v>
      </c>
      <c r="J373" s="24"/>
      <c r="K373" s="24"/>
      <c r="L373" s="19" t="str">
        <f t="shared" si="10"/>
        <v>LUNAS</v>
      </c>
      <c r="M373" s="24"/>
      <c r="N373" s="22"/>
      <c r="O373" s="6"/>
      <c r="P373" s="6"/>
      <c r="Q373" s="6"/>
    </row>
    <row r="374" spans="1:17" ht="12.75" customHeight="1" x14ac:dyDescent="0.3">
      <c r="A374" s="6"/>
      <c r="B374" s="19">
        <v>371</v>
      </c>
      <c r="C374" s="20" t="str">
        <f>NamaPelanggan!C373</f>
        <v>SUM-371</v>
      </c>
      <c r="D374" s="21" t="str">
        <f>NamaPelanggan!D373</f>
        <v>AGUS@BIMA</v>
      </c>
      <c r="E374" s="21" t="str">
        <f>NamaPelanggan!E373</f>
        <v>SUMBERWATU</v>
      </c>
      <c r="F374" s="23">
        <f>NamaPelanggan!H373</f>
        <v>100000</v>
      </c>
      <c r="G374" s="24"/>
      <c r="H374" s="24"/>
      <c r="I374" s="24">
        <v>100000</v>
      </c>
      <c r="J374" s="24"/>
      <c r="K374" s="24"/>
      <c r="L374" s="19" t="str">
        <f t="shared" si="10"/>
        <v>LUNAS</v>
      </c>
      <c r="M374" s="24"/>
      <c r="N374" s="22"/>
      <c r="O374" s="6"/>
      <c r="P374" s="6"/>
      <c r="Q374" s="6"/>
    </row>
    <row r="375" spans="1:17" ht="12.75" customHeight="1" x14ac:dyDescent="0.3">
      <c r="A375" s="6"/>
      <c r="B375" s="19">
        <v>372</v>
      </c>
      <c r="C375" s="20" t="str">
        <f>NamaPelanggan!C374</f>
        <v>SUM-372</v>
      </c>
      <c r="D375" s="21" t="str">
        <f>NamaPelanggan!D374</f>
        <v>AGUS@PLN</v>
      </c>
      <c r="E375" s="21" t="str">
        <f>NamaPelanggan!E374</f>
        <v>SUMBERWATU</v>
      </c>
      <c r="F375" s="23">
        <f>NamaPelanggan!H374</f>
        <v>100000</v>
      </c>
      <c r="G375" s="24"/>
      <c r="H375" s="24"/>
      <c r="I375" s="24">
        <v>100000</v>
      </c>
      <c r="J375" s="24"/>
      <c r="K375" s="24"/>
      <c r="L375" s="19" t="str">
        <f t="shared" si="10"/>
        <v>LUNAS</v>
      </c>
      <c r="M375" s="24"/>
      <c r="N375" s="22"/>
      <c r="O375" s="6"/>
      <c r="P375" s="6"/>
      <c r="Q375" s="6"/>
    </row>
    <row r="376" spans="1:17" ht="12.75" customHeight="1" x14ac:dyDescent="0.3">
      <c r="A376" s="6"/>
      <c r="B376" s="19">
        <v>373</v>
      </c>
      <c r="C376" s="20" t="str">
        <f>NamaPelanggan!C375</f>
        <v>SUM-373</v>
      </c>
      <c r="D376" s="21" t="str">
        <f>NamaPelanggan!D375</f>
        <v>ALDI@RAVEL</v>
      </c>
      <c r="E376" s="21" t="str">
        <f>NamaPelanggan!E375</f>
        <v>SUMBERWATU</v>
      </c>
      <c r="F376" s="23">
        <f>NamaPelanggan!H375</f>
        <v>100000</v>
      </c>
      <c r="G376" s="24"/>
      <c r="H376" s="24"/>
      <c r="I376" s="24">
        <v>100000</v>
      </c>
      <c r="J376" s="24"/>
      <c r="K376" s="24"/>
      <c r="L376" s="19" t="str">
        <f t="shared" si="10"/>
        <v>LUNAS</v>
      </c>
      <c r="M376" s="24"/>
      <c r="N376" s="22"/>
      <c r="O376" s="6"/>
      <c r="P376" s="6"/>
      <c r="Q376" s="6"/>
    </row>
    <row r="377" spans="1:17" ht="12.75" customHeight="1" x14ac:dyDescent="0.3">
      <c r="A377" s="6"/>
      <c r="B377" s="19">
        <v>374</v>
      </c>
      <c r="C377" s="20" t="str">
        <f>NamaPelanggan!C376</f>
        <v>SUM-374</v>
      </c>
      <c r="D377" s="21" t="str">
        <f>NamaPelanggan!D376</f>
        <v>ASIH</v>
      </c>
      <c r="E377" s="21" t="str">
        <f>NamaPelanggan!E376</f>
        <v>SUMBERWATU</v>
      </c>
      <c r="F377" s="23">
        <f>NamaPelanggan!H376</f>
        <v>100000</v>
      </c>
      <c r="G377" s="24"/>
      <c r="H377" s="24"/>
      <c r="I377" s="24">
        <v>100000</v>
      </c>
      <c r="J377" s="24"/>
      <c r="K377" s="24"/>
      <c r="L377" s="19" t="str">
        <f t="shared" si="10"/>
        <v>LUNAS</v>
      </c>
      <c r="M377" s="24"/>
      <c r="N377" s="22"/>
      <c r="O377" s="6"/>
      <c r="P377" s="6"/>
      <c r="Q377" s="6"/>
    </row>
    <row r="378" spans="1:17" ht="12.75" customHeight="1" x14ac:dyDescent="0.3">
      <c r="A378" s="6"/>
      <c r="B378" s="19">
        <v>375</v>
      </c>
      <c r="C378" s="20" t="str">
        <f>NamaPelanggan!C377</f>
        <v>SUM-375</v>
      </c>
      <c r="D378" s="21" t="str">
        <f>NamaPelanggan!D377</f>
        <v>BENDOT</v>
      </c>
      <c r="E378" s="21" t="str">
        <f>NamaPelanggan!E377</f>
        <v>SUMBERWATU</v>
      </c>
      <c r="F378" s="23">
        <f>NamaPelanggan!H377</f>
        <v>100000</v>
      </c>
      <c r="G378" s="24"/>
      <c r="H378" s="24"/>
      <c r="I378" s="24">
        <v>100000</v>
      </c>
      <c r="J378" s="24"/>
      <c r="K378" s="24"/>
      <c r="L378" s="19" t="str">
        <f t="shared" si="10"/>
        <v>LUNAS</v>
      </c>
      <c r="M378" s="24"/>
      <c r="N378" s="22"/>
      <c r="O378" s="6"/>
      <c r="P378" s="6"/>
      <c r="Q378" s="6"/>
    </row>
    <row r="379" spans="1:17" ht="12.75" customHeight="1" x14ac:dyDescent="0.3">
      <c r="A379" s="6"/>
      <c r="B379" s="19">
        <v>376</v>
      </c>
      <c r="C379" s="20" t="str">
        <f>NamaPelanggan!C378</f>
        <v>SUM-376</v>
      </c>
      <c r="D379" s="21" t="str">
        <f>NamaPelanggan!D378</f>
        <v>BUDI@MONOT</v>
      </c>
      <c r="E379" s="21" t="str">
        <f>NamaPelanggan!E378</f>
        <v>SUMBERWATU</v>
      </c>
      <c r="F379" s="23">
        <f>NamaPelanggan!H378</f>
        <v>100000</v>
      </c>
      <c r="G379" s="24"/>
      <c r="H379" s="24"/>
      <c r="I379" s="24">
        <v>100000</v>
      </c>
      <c r="J379" s="24"/>
      <c r="K379" s="24"/>
      <c r="L379" s="19" t="str">
        <f t="shared" si="10"/>
        <v>LUNAS</v>
      </c>
      <c r="M379" s="24"/>
      <c r="N379" s="22"/>
      <c r="O379" s="6"/>
      <c r="P379" s="6"/>
      <c r="Q379" s="6"/>
    </row>
    <row r="380" spans="1:17" ht="12.75" customHeight="1" x14ac:dyDescent="0.3">
      <c r="A380" s="6"/>
      <c r="B380" s="19">
        <v>377</v>
      </c>
      <c r="C380" s="20" t="str">
        <f>NamaPelanggan!C379</f>
        <v>SUM-377</v>
      </c>
      <c r="D380" s="21" t="str">
        <f>NamaPelanggan!D379</f>
        <v>BUS@SUMBERWATU</v>
      </c>
      <c r="E380" s="21" t="str">
        <f>NamaPelanggan!E379</f>
        <v>SUMBERWATU</v>
      </c>
      <c r="F380" s="23">
        <f>NamaPelanggan!H379</f>
        <v>100000</v>
      </c>
      <c r="G380" s="24"/>
      <c r="H380" s="24"/>
      <c r="I380" s="24"/>
      <c r="J380" s="24"/>
      <c r="K380" s="24"/>
      <c r="L380" s="19" t="str">
        <f t="shared" si="10"/>
        <v>BELUM LUNAS</v>
      </c>
      <c r="M380" s="24">
        <v>100000</v>
      </c>
      <c r="N380" s="22" t="s">
        <v>574</v>
      </c>
      <c r="O380" s="6"/>
      <c r="P380" s="6"/>
      <c r="Q380" s="6"/>
    </row>
    <row r="381" spans="1:17" ht="12.75" customHeight="1" x14ac:dyDescent="0.3">
      <c r="A381" s="6"/>
      <c r="B381" s="19">
        <v>378</v>
      </c>
      <c r="C381" s="20" t="str">
        <f>NamaPelanggan!C380</f>
        <v>SUM-378</v>
      </c>
      <c r="D381" s="21" t="str">
        <f>NamaPelanggan!D380</f>
        <v>FIDO</v>
      </c>
      <c r="E381" s="21" t="str">
        <f>NamaPelanggan!E380</f>
        <v>SUMBERWATU</v>
      </c>
      <c r="F381" s="23">
        <f>NamaPelanggan!H380</f>
        <v>100000</v>
      </c>
      <c r="G381" s="24"/>
      <c r="H381" s="24"/>
      <c r="I381" s="24">
        <v>100000</v>
      </c>
      <c r="J381" s="24"/>
      <c r="K381" s="24"/>
      <c r="L381" s="19" t="str">
        <f t="shared" si="10"/>
        <v>LUNAS</v>
      </c>
      <c r="M381" s="24"/>
      <c r="N381" s="22"/>
      <c r="O381" s="6"/>
      <c r="P381" s="6"/>
      <c r="Q381" s="6"/>
    </row>
    <row r="382" spans="1:17" ht="12.75" customHeight="1" x14ac:dyDescent="0.3">
      <c r="A382" s="6"/>
      <c r="B382" s="19">
        <v>379</v>
      </c>
      <c r="C382" s="20" t="str">
        <f>NamaPelanggan!C381</f>
        <v>SUM-379</v>
      </c>
      <c r="D382" s="21" t="str">
        <f>NamaPelanggan!D381</f>
        <v>IIN@BUANG</v>
      </c>
      <c r="E382" s="21" t="str">
        <f>NamaPelanggan!E381</f>
        <v>SUMBERWATU</v>
      </c>
      <c r="F382" s="23">
        <f>NamaPelanggan!H381</f>
        <v>100000</v>
      </c>
      <c r="G382" s="24"/>
      <c r="H382" s="24"/>
      <c r="I382" s="24">
        <v>100000</v>
      </c>
      <c r="J382" s="24"/>
      <c r="K382" s="24"/>
      <c r="L382" s="19" t="str">
        <f t="shared" si="10"/>
        <v>LUNAS</v>
      </c>
      <c r="M382" s="24"/>
      <c r="N382" s="22"/>
      <c r="O382" s="6"/>
      <c r="P382" s="6"/>
      <c r="Q382" s="6"/>
    </row>
    <row r="383" spans="1:17" ht="12.75" customHeight="1" x14ac:dyDescent="0.3">
      <c r="A383" s="6"/>
      <c r="B383" s="19">
        <v>380</v>
      </c>
      <c r="C383" s="20" t="str">
        <f>NamaPelanggan!C382</f>
        <v>SUM-380</v>
      </c>
      <c r="D383" s="21" t="str">
        <f>NamaPelanggan!D382</f>
        <v>IKSAN</v>
      </c>
      <c r="E383" s="21" t="str">
        <f>NamaPelanggan!E382</f>
        <v>SUMBERWATU</v>
      </c>
      <c r="F383" s="23">
        <f>NamaPelanggan!H382</f>
        <v>100000</v>
      </c>
      <c r="G383" s="24"/>
      <c r="H383" s="24"/>
      <c r="I383" s="24">
        <v>100000</v>
      </c>
      <c r="J383" s="24"/>
      <c r="K383" s="24"/>
      <c r="L383" s="19" t="str">
        <f t="shared" si="10"/>
        <v>LUNAS</v>
      </c>
      <c r="M383" s="24"/>
      <c r="N383" s="22"/>
      <c r="O383" s="6"/>
      <c r="P383" s="6"/>
      <c r="Q383" s="6"/>
    </row>
    <row r="384" spans="1:17" ht="12.75" customHeight="1" x14ac:dyDescent="0.3">
      <c r="A384" s="6"/>
      <c r="B384" s="19">
        <v>381</v>
      </c>
      <c r="C384" s="20" t="str">
        <f>NamaPelanggan!C383</f>
        <v>SUM-381</v>
      </c>
      <c r="D384" s="21" t="str">
        <f>NamaPelanggan!D383</f>
        <v>IQBAL@IYAN</v>
      </c>
      <c r="E384" s="21" t="str">
        <f>NamaPelanggan!E383</f>
        <v>SUMBERWATU</v>
      </c>
      <c r="F384" s="23">
        <f>NamaPelanggan!H383</f>
        <v>100000</v>
      </c>
      <c r="G384" s="24"/>
      <c r="H384" s="24"/>
      <c r="I384" s="24">
        <v>100000</v>
      </c>
      <c r="J384" s="24"/>
      <c r="K384" s="24"/>
      <c r="L384" s="19" t="str">
        <f t="shared" si="10"/>
        <v>LUNAS</v>
      </c>
      <c r="M384" s="24"/>
      <c r="N384" s="22"/>
      <c r="O384" s="6"/>
      <c r="P384" s="6"/>
      <c r="Q384" s="6"/>
    </row>
    <row r="385" spans="1:18" ht="12.75" customHeight="1" x14ac:dyDescent="0.3">
      <c r="A385" s="6"/>
      <c r="B385" s="19">
        <v>382</v>
      </c>
      <c r="C385" s="20" t="str">
        <f>NamaPelanggan!C384</f>
        <v>SUM-382</v>
      </c>
      <c r="D385" s="21" t="str">
        <f>NamaPelanggan!D384</f>
        <v>LINA@RUDI</v>
      </c>
      <c r="E385" s="21" t="str">
        <f>NamaPelanggan!E384</f>
        <v>SUMBERWATU</v>
      </c>
      <c r="F385" s="23">
        <f>NamaPelanggan!H384</f>
        <v>100000</v>
      </c>
      <c r="G385" s="24"/>
      <c r="H385" s="24"/>
      <c r="I385" s="24">
        <v>100000</v>
      </c>
      <c r="J385" s="24"/>
      <c r="K385" s="24"/>
      <c r="L385" s="19" t="str">
        <f t="shared" si="10"/>
        <v>LUNAS</v>
      </c>
      <c r="M385" s="24"/>
      <c r="N385" s="22"/>
      <c r="O385" s="6"/>
      <c r="P385" s="6"/>
      <c r="Q385" s="6"/>
    </row>
    <row r="386" spans="1:18" ht="12.75" customHeight="1" x14ac:dyDescent="0.3">
      <c r="A386" s="6"/>
      <c r="B386" s="19">
        <v>383</v>
      </c>
      <c r="C386" s="20" t="str">
        <f>NamaPelanggan!C385</f>
        <v>SUM-383</v>
      </c>
      <c r="D386" s="21" t="str">
        <f>NamaPelanggan!D385</f>
        <v>lina gita</v>
      </c>
      <c r="E386" s="21" t="str">
        <f>NamaPelanggan!E385</f>
        <v>SUMBERWATU</v>
      </c>
      <c r="F386" s="23">
        <f>NamaPelanggan!H385</f>
        <v>100000</v>
      </c>
      <c r="G386" s="24"/>
      <c r="H386" s="24"/>
      <c r="I386" s="24">
        <v>100000</v>
      </c>
      <c r="J386" s="24"/>
      <c r="K386" s="24"/>
      <c r="L386" s="19" t="str">
        <f t="shared" si="10"/>
        <v>LUNAS</v>
      </c>
      <c r="M386" s="24"/>
      <c r="N386" s="22"/>
      <c r="O386" s="6"/>
      <c r="P386" s="6"/>
      <c r="Q386" s="6"/>
    </row>
    <row r="387" spans="1:18" ht="12.75" customHeight="1" x14ac:dyDescent="0.3">
      <c r="A387" s="6"/>
      <c r="B387" s="19">
        <v>384</v>
      </c>
      <c r="C387" s="20" t="str">
        <f>NamaPelanggan!C386</f>
        <v>SUM-384</v>
      </c>
      <c r="D387" s="21" t="str">
        <f>NamaPelanggan!D386</f>
        <v>MAHSUN</v>
      </c>
      <c r="E387" s="21" t="str">
        <f>NamaPelanggan!E386</f>
        <v>SUMBERWATU</v>
      </c>
      <c r="F387" s="23">
        <f>NamaPelanggan!H386</f>
        <v>100000</v>
      </c>
      <c r="G387" s="24"/>
      <c r="H387" s="24"/>
      <c r="I387" s="24">
        <v>100000</v>
      </c>
      <c r="J387" s="24"/>
      <c r="K387" s="24"/>
      <c r="L387" s="19" t="str">
        <f t="shared" si="10"/>
        <v>LUNAS</v>
      </c>
      <c r="M387" s="24"/>
      <c r="N387" s="22"/>
      <c r="O387" s="6"/>
      <c r="P387" s="6"/>
      <c r="Q387" s="6"/>
    </row>
    <row r="388" spans="1:18" ht="12.75" customHeight="1" x14ac:dyDescent="0.3">
      <c r="A388" s="6"/>
      <c r="B388" s="19">
        <v>385</v>
      </c>
      <c r="C388" s="20" t="str">
        <f>NamaPelanggan!C387</f>
        <v>SUM-385</v>
      </c>
      <c r="D388" s="21" t="str">
        <f>NamaPelanggan!D387</f>
        <v>MBAKENDANG</v>
      </c>
      <c r="E388" s="21" t="str">
        <f>NamaPelanggan!E387</f>
        <v>SUMBERWATU</v>
      </c>
      <c r="F388" s="23">
        <f>NamaPelanggan!H387</f>
        <v>100000</v>
      </c>
      <c r="G388" s="24"/>
      <c r="H388" s="24"/>
      <c r="I388" s="24">
        <v>100000</v>
      </c>
      <c r="J388" s="24"/>
      <c r="K388" s="24"/>
      <c r="L388" s="19" t="str">
        <f t="shared" si="10"/>
        <v>LUNAS</v>
      </c>
      <c r="M388" s="24"/>
      <c r="N388" s="22"/>
      <c r="O388" s="6"/>
      <c r="P388" s="6"/>
      <c r="Q388" s="6"/>
    </row>
    <row r="389" spans="1:18" ht="12.75" customHeight="1" x14ac:dyDescent="0.3">
      <c r="A389" s="6"/>
      <c r="B389" s="19">
        <v>386</v>
      </c>
      <c r="C389" s="20" t="str">
        <f>NamaPelanggan!C388</f>
        <v>SUM-386</v>
      </c>
      <c r="D389" s="21" t="str">
        <f>NamaPelanggan!D388</f>
        <v>MELI</v>
      </c>
      <c r="E389" s="21" t="str">
        <f>NamaPelanggan!E388</f>
        <v>SUMBERWATU</v>
      </c>
      <c r="F389" s="23">
        <f>NamaPelanggan!H388</f>
        <v>100000</v>
      </c>
      <c r="G389" s="24"/>
      <c r="H389" s="24"/>
      <c r="I389" s="24">
        <v>100000</v>
      </c>
      <c r="J389" s="24"/>
      <c r="K389" s="24"/>
      <c r="L389" s="19" t="str">
        <f t="shared" si="10"/>
        <v>LUNAS</v>
      </c>
      <c r="M389" s="24"/>
      <c r="N389" s="22"/>
      <c r="O389" s="6"/>
      <c r="P389" s="6"/>
      <c r="Q389" s="6"/>
    </row>
    <row r="390" spans="1:18" ht="12.75" customHeight="1" x14ac:dyDescent="0.3">
      <c r="A390" s="6"/>
      <c r="B390" s="19">
        <v>387</v>
      </c>
      <c r="C390" s="20" t="str">
        <f>NamaPelanggan!C389</f>
        <v>SUM-387</v>
      </c>
      <c r="D390" s="21" t="str">
        <f>NamaPelanggan!D389</f>
        <v>MUJIBNUR</v>
      </c>
      <c r="E390" s="21" t="str">
        <f>NamaPelanggan!E389</f>
        <v>SUMBERWATU</v>
      </c>
      <c r="F390" s="23">
        <f>NamaPelanggan!H389</f>
        <v>100000</v>
      </c>
      <c r="G390" s="24"/>
      <c r="H390" s="24"/>
      <c r="I390" s="24">
        <v>100000</v>
      </c>
      <c r="J390" s="24"/>
      <c r="K390" s="24"/>
      <c r="L390" s="19" t="str">
        <f t="shared" si="10"/>
        <v>LUNAS</v>
      </c>
      <c r="M390" s="24"/>
      <c r="N390" s="22"/>
      <c r="O390" s="6"/>
      <c r="P390" s="6"/>
      <c r="Q390" s="6"/>
    </row>
    <row r="391" spans="1:18" ht="12.75" customHeight="1" x14ac:dyDescent="0.3">
      <c r="A391" s="6"/>
      <c r="B391" s="19">
        <v>388</v>
      </c>
      <c r="C391" s="20" t="str">
        <f>NamaPelanggan!C390</f>
        <v>SUM-388</v>
      </c>
      <c r="D391" s="21" t="str">
        <f>NamaPelanggan!D390</f>
        <v>NURI</v>
      </c>
      <c r="E391" s="21" t="str">
        <f>NamaPelanggan!E390</f>
        <v>SUMBERWATU</v>
      </c>
      <c r="F391" s="23">
        <f>NamaPelanggan!H390</f>
        <v>100000</v>
      </c>
      <c r="G391" s="24"/>
      <c r="H391" s="24"/>
      <c r="I391" s="24">
        <v>100000</v>
      </c>
      <c r="J391" s="24"/>
      <c r="K391" s="24"/>
      <c r="L391" s="19" t="str">
        <f t="shared" si="10"/>
        <v>LUNAS</v>
      </c>
      <c r="M391" s="24"/>
      <c r="N391" s="22"/>
      <c r="O391" s="6"/>
      <c r="P391" s="6"/>
      <c r="Q391" s="6"/>
    </row>
    <row r="392" spans="1:18" ht="12.75" customHeight="1" x14ac:dyDescent="0.3">
      <c r="A392" s="6"/>
      <c r="B392" s="19">
        <v>389</v>
      </c>
      <c r="C392" s="20" t="str">
        <f>NamaPelanggan!C391</f>
        <v>SUM-389</v>
      </c>
      <c r="D392" s="21" t="str">
        <f>NamaPelanggan!D391</f>
        <v>OPIK@ANI</v>
      </c>
      <c r="E392" s="21" t="str">
        <f>NamaPelanggan!E391</f>
        <v>SUMBERWATU</v>
      </c>
      <c r="F392" s="23">
        <f>NamaPelanggan!H391</f>
        <v>100000</v>
      </c>
      <c r="G392" s="24"/>
      <c r="H392" s="24"/>
      <c r="I392" s="24">
        <v>100000</v>
      </c>
      <c r="J392" s="24"/>
      <c r="K392" s="24"/>
      <c r="L392" s="19" t="str">
        <f t="shared" si="10"/>
        <v>LUNAS</v>
      </c>
      <c r="M392" s="24"/>
      <c r="N392" s="22"/>
      <c r="O392" s="6"/>
      <c r="P392" s="6"/>
      <c r="Q392" s="6"/>
    </row>
    <row r="393" spans="1:18" ht="12.75" customHeight="1" x14ac:dyDescent="0.3">
      <c r="A393" s="6"/>
      <c r="B393" s="19">
        <v>390</v>
      </c>
      <c r="C393" s="20" t="str">
        <f>NamaPelanggan!C392</f>
        <v>SUM-390</v>
      </c>
      <c r="D393" s="21" t="str">
        <f>NamaPelanggan!D392</f>
        <v>P.MUL@RUJAK</v>
      </c>
      <c r="E393" s="21" t="str">
        <f>NamaPelanggan!E392</f>
        <v>SUMBERWATU</v>
      </c>
      <c r="F393" s="23">
        <f>NamaPelanggan!H392</f>
        <v>100000</v>
      </c>
      <c r="G393" s="24"/>
      <c r="H393" s="24"/>
      <c r="I393" s="24">
        <v>100000</v>
      </c>
      <c r="J393" s="24"/>
      <c r="K393" s="24"/>
      <c r="L393" s="19" t="str">
        <f t="shared" si="10"/>
        <v>LUNAS</v>
      </c>
      <c r="M393" s="24"/>
      <c r="N393" s="22"/>
      <c r="O393" s="6"/>
      <c r="P393" s="6"/>
      <c r="Q393" s="6"/>
    </row>
    <row r="394" spans="1:18" ht="12.75" customHeight="1" x14ac:dyDescent="0.3">
      <c r="A394" s="6"/>
      <c r="B394" s="19">
        <v>391</v>
      </c>
      <c r="C394" s="20" t="str">
        <f>NamaPelanggan!C393</f>
        <v>SUM-391</v>
      </c>
      <c r="D394" s="21" t="str">
        <f>NamaPelanggan!D393</f>
        <v>PAIDI@SALMAN</v>
      </c>
      <c r="E394" s="21" t="str">
        <f>NamaPelanggan!E393</f>
        <v>SUMBERWATU</v>
      </c>
      <c r="F394" s="23">
        <f>NamaPelanggan!H393</f>
        <v>100000</v>
      </c>
      <c r="G394" s="24"/>
      <c r="H394" s="24"/>
      <c r="I394" s="24">
        <v>100000</v>
      </c>
      <c r="J394" s="24"/>
      <c r="K394" s="24"/>
      <c r="L394" s="19" t="str">
        <f t="shared" si="10"/>
        <v>LUNAS</v>
      </c>
      <c r="M394" s="24"/>
      <c r="N394" s="22"/>
      <c r="O394" s="6"/>
      <c r="P394" s="6"/>
      <c r="Q394" s="6"/>
    </row>
    <row r="395" spans="1:18" ht="12.75" customHeight="1" x14ac:dyDescent="0.3">
      <c r="A395" s="6"/>
      <c r="B395" s="19">
        <v>392</v>
      </c>
      <c r="C395" s="20" t="str">
        <f>NamaPelanggan!C394</f>
        <v>SUM-392</v>
      </c>
      <c r="D395" s="21" t="str">
        <f>NamaPelanggan!D394</f>
        <v>pur</v>
      </c>
      <c r="E395" s="21" t="str">
        <f>NamaPelanggan!E394</f>
        <v>SUMBERWATU</v>
      </c>
      <c r="F395" s="23">
        <f>NamaPelanggan!H394</f>
        <v>100000</v>
      </c>
      <c r="G395" s="24"/>
      <c r="H395" s="24"/>
      <c r="I395" s="24">
        <v>100000</v>
      </c>
      <c r="J395" s="24"/>
      <c r="K395" s="24"/>
      <c r="L395" s="19" t="str">
        <f t="shared" si="10"/>
        <v>LUNAS</v>
      </c>
      <c r="M395" s="24"/>
      <c r="N395" s="22"/>
      <c r="O395" s="6"/>
      <c r="P395" s="6"/>
      <c r="Q395" s="6"/>
    </row>
    <row r="396" spans="1:18" ht="12.75" customHeight="1" x14ac:dyDescent="0.3">
      <c r="A396" s="6"/>
      <c r="B396" s="19">
        <v>393</v>
      </c>
      <c r="C396" s="20" t="str">
        <f>NamaPelanggan!C395</f>
        <v>SUM-393</v>
      </c>
      <c r="D396" s="21" t="str">
        <f>NamaPelanggan!D395</f>
        <v>rahmat adis</v>
      </c>
      <c r="E396" s="21" t="str">
        <f>NamaPelanggan!E395</f>
        <v>SUMBERWATU</v>
      </c>
      <c r="F396" s="23">
        <f>NamaPelanggan!H395</f>
        <v>100000</v>
      </c>
      <c r="G396" s="24"/>
      <c r="H396" s="24"/>
      <c r="I396" s="24">
        <v>100000</v>
      </c>
      <c r="J396" s="24"/>
      <c r="K396" s="24"/>
      <c r="L396" s="19" t="str">
        <f t="shared" si="10"/>
        <v>LUNAS</v>
      </c>
      <c r="M396" s="24"/>
      <c r="N396" s="22"/>
      <c r="O396" s="6"/>
      <c r="P396" s="6"/>
      <c r="Q396" s="6"/>
    </row>
    <row r="397" spans="1:18" ht="12.75" customHeight="1" x14ac:dyDescent="0.3">
      <c r="A397" s="6"/>
      <c r="B397" s="19">
        <v>394</v>
      </c>
      <c r="C397" s="20" t="str">
        <f>NamaPelanggan!C396</f>
        <v>SUM-394</v>
      </c>
      <c r="D397" s="21" t="str">
        <f>NamaPelanggan!D396</f>
        <v>RIBUT@WAWAN</v>
      </c>
      <c r="E397" s="21" t="str">
        <f>NamaPelanggan!E396</f>
        <v>SUMBERWATU</v>
      </c>
      <c r="F397" s="23">
        <f>NamaPelanggan!H396</f>
        <v>100000</v>
      </c>
      <c r="G397" s="24"/>
      <c r="H397" s="24"/>
      <c r="I397" s="24">
        <v>100000</v>
      </c>
      <c r="J397" s="24"/>
      <c r="K397" s="24"/>
      <c r="L397" s="19" t="str">
        <f t="shared" si="10"/>
        <v>LUNAS</v>
      </c>
      <c r="M397" s="24"/>
      <c r="N397" s="22"/>
      <c r="O397" s="6"/>
      <c r="P397" s="6"/>
      <c r="Q397" s="6"/>
    </row>
    <row r="398" spans="1:18" ht="12.75" customHeight="1" x14ac:dyDescent="0.3">
      <c r="A398" s="6"/>
      <c r="B398" s="19">
        <v>395</v>
      </c>
      <c r="C398" s="20" t="str">
        <f>NamaPelanggan!C397</f>
        <v>SUM-395</v>
      </c>
      <c r="D398" s="21" t="str">
        <f>NamaPelanggan!D397</f>
        <v>roni</v>
      </c>
      <c r="E398" s="21" t="str">
        <f>NamaPelanggan!E397</f>
        <v>SUMBERWATU</v>
      </c>
      <c r="F398" s="23">
        <f>NamaPelanggan!H397</f>
        <v>100000</v>
      </c>
      <c r="G398" s="24"/>
      <c r="H398" s="24"/>
      <c r="I398" s="24">
        <v>100000</v>
      </c>
      <c r="J398" s="24"/>
      <c r="K398" s="24"/>
      <c r="L398" s="19" t="str">
        <f t="shared" si="10"/>
        <v>LUNAS</v>
      </c>
      <c r="M398" s="24"/>
      <c r="N398" s="22"/>
      <c r="O398" s="6"/>
      <c r="P398" s="6"/>
      <c r="Q398" s="6"/>
    </row>
    <row r="399" spans="1:18" ht="12.75" customHeight="1" x14ac:dyDescent="0.3">
      <c r="A399" s="6"/>
      <c r="B399" s="19">
        <v>396</v>
      </c>
      <c r="C399" s="20" t="str">
        <f>NamaPelanggan!C398</f>
        <v>SUM-396</v>
      </c>
      <c r="D399" s="21" t="str">
        <f>NamaPelanggan!D398</f>
        <v>RUBIT</v>
      </c>
      <c r="E399" s="21" t="str">
        <f>NamaPelanggan!E398</f>
        <v>SUMBERWATU</v>
      </c>
      <c r="F399" s="23">
        <f>NamaPelanggan!H398</f>
        <v>100000</v>
      </c>
      <c r="G399" s="24"/>
      <c r="H399" s="24"/>
      <c r="I399" s="24">
        <v>100000</v>
      </c>
      <c r="J399" s="24"/>
      <c r="K399" s="24"/>
      <c r="L399" s="19" t="str">
        <f t="shared" si="10"/>
        <v>LUNAS</v>
      </c>
      <c r="M399" s="24"/>
      <c r="N399" s="22"/>
      <c r="O399" s="6"/>
      <c r="P399" s="6"/>
      <c r="Q399" s="6"/>
    </row>
    <row r="400" spans="1:18" ht="12.75" customHeight="1" x14ac:dyDescent="0.3">
      <c r="A400" s="6"/>
      <c r="B400" s="19">
        <v>397</v>
      </c>
      <c r="C400" s="20" t="str">
        <f>NamaPelanggan!C399</f>
        <v>SUM-397</v>
      </c>
      <c r="D400" s="21" t="str">
        <f>NamaPelanggan!D399</f>
        <v>RUMANI</v>
      </c>
      <c r="E400" s="21" t="str">
        <f>NamaPelanggan!E399</f>
        <v>SUMBERWATU</v>
      </c>
      <c r="F400" s="23">
        <f>NamaPelanggan!H399</f>
        <v>100000</v>
      </c>
      <c r="G400" s="24"/>
      <c r="H400" s="24"/>
      <c r="I400" s="24">
        <v>100000</v>
      </c>
      <c r="J400" s="24"/>
      <c r="K400" s="24"/>
      <c r="L400" s="19" t="str">
        <f t="shared" si="10"/>
        <v>LUNAS</v>
      </c>
      <c r="M400" s="24"/>
      <c r="N400" s="22"/>
      <c r="O400" s="6"/>
      <c r="P400" s="6"/>
      <c r="Q400" s="6"/>
      <c r="R400">
        <f>COUNTIF(L:L,"BELUM LUNAS")</f>
        <v>85</v>
      </c>
    </row>
    <row r="401" spans="1:18" ht="12.75" customHeight="1" x14ac:dyDescent="0.3">
      <c r="A401" s="6"/>
      <c r="B401" s="19">
        <v>398</v>
      </c>
      <c r="C401" s="20" t="str">
        <f>NamaPelanggan!C400</f>
        <v>SUM-398</v>
      </c>
      <c r="D401" s="21" t="str">
        <f>NamaPelanggan!D400</f>
        <v>SALIM@RAFI</v>
      </c>
      <c r="E401" s="21" t="str">
        <f>NamaPelanggan!E400</f>
        <v>SUMBERWATU</v>
      </c>
      <c r="F401" s="23">
        <f>NamaPelanggan!H400</f>
        <v>100000</v>
      </c>
      <c r="G401" s="24"/>
      <c r="H401" s="24"/>
      <c r="I401" s="24">
        <v>100000</v>
      </c>
      <c r="J401" s="24"/>
      <c r="K401" s="24"/>
      <c r="L401" s="19" t="str">
        <f t="shared" si="10"/>
        <v>LUNAS</v>
      </c>
      <c r="M401" s="24"/>
      <c r="N401" s="22"/>
      <c r="O401" s="6"/>
      <c r="P401" s="6"/>
      <c r="Q401" s="6"/>
      <c r="R401">
        <f>COUNTIF(L:L,"LUNAS")</f>
        <v>413</v>
      </c>
    </row>
    <row r="402" spans="1:18" ht="12.75" customHeight="1" x14ac:dyDescent="0.3">
      <c r="A402" s="6"/>
      <c r="B402" s="19">
        <v>399</v>
      </c>
      <c r="C402" s="20" t="str">
        <f>NamaPelanggan!C401</f>
        <v>SUM-399</v>
      </c>
      <c r="D402" s="21" t="str">
        <f>NamaPelanggan!D401</f>
        <v>SAN@ULAN</v>
      </c>
      <c r="E402" s="21" t="str">
        <f>NamaPelanggan!E401</f>
        <v>SUMBERWATU</v>
      </c>
      <c r="F402" s="23">
        <f>NamaPelanggan!H401</f>
        <v>100000</v>
      </c>
      <c r="G402" s="24"/>
      <c r="H402" s="24"/>
      <c r="I402" s="24">
        <v>100000</v>
      </c>
      <c r="J402" s="24"/>
      <c r="K402" s="24"/>
      <c r="L402" s="19" t="str">
        <f t="shared" si="10"/>
        <v>LUNAS</v>
      </c>
      <c r="M402" s="24"/>
      <c r="N402" s="22"/>
      <c r="O402" s="6"/>
      <c r="P402" s="6"/>
      <c r="Q402" s="6"/>
    </row>
    <row r="403" spans="1:18" ht="12.75" customHeight="1" x14ac:dyDescent="0.3">
      <c r="A403" s="6"/>
      <c r="B403" s="19">
        <v>400</v>
      </c>
      <c r="C403" s="20" t="str">
        <f>NamaPelanggan!C402</f>
        <v>SUM-400</v>
      </c>
      <c r="D403" s="21" t="str">
        <f>NamaPelanggan!D402</f>
        <v>SIS</v>
      </c>
      <c r="E403" s="21" t="str">
        <f>NamaPelanggan!E402</f>
        <v>SUMBERWATU</v>
      </c>
      <c r="F403" s="23">
        <f>NamaPelanggan!H402</f>
        <v>100000</v>
      </c>
      <c r="G403" s="24"/>
      <c r="H403" s="24"/>
      <c r="I403" s="24">
        <v>100000</v>
      </c>
      <c r="J403" s="24"/>
      <c r="K403" s="24"/>
      <c r="L403" s="19" t="s">
        <v>548</v>
      </c>
      <c r="M403" s="24">
        <v>100000</v>
      </c>
      <c r="N403" s="22" t="s">
        <v>574</v>
      </c>
      <c r="O403" s="6"/>
      <c r="P403" s="6"/>
      <c r="Q403" s="6"/>
    </row>
    <row r="404" spans="1:18" ht="12.75" customHeight="1" x14ac:dyDescent="0.3">
      <c r="A404" s="6"/>
      <c r="B404" s="19">
        <v>401</v>
      </c>
      <c r="C404" s="20" t="str">
        <f>NamaPelanggan!C403</f>
        <v>SUM-401</v>
      </c>
      <c r="D404" s="21" t="str">
        <f>NamaPelanggan!D403</f>
        <v>SUM@SUMBERWATU</v>
      </c>
      <c r="E404" s="21" t="str">
        <f>NamaPelanggan!E403</f>
        <v>SUMBERWATU</v>
      </c>
      <c r="F404" s="23">
        <f>NamaPelanggan!H403</f>
        <v>100000</v>
      </c>
      <c r="G404" s="24"/>
      <c r="H404" s="24"/>
      <c r="I404" s="24">
        <v>100000</v>
      </c>
      <c r="J404" s="24"/>
      <c r="K404" s="24"/>
      <c r="L404" s="19" t="str">
        <f t="shared" ref="L404:L466" si="11">IF(SUM(G404:K404)&gt;0,"LUNAS","BELUM LUNAS")</f>
        <v>LUNAS</v>
      </c>
      <c r="M404" s="24"/>
      <c r="N404" s="22"/>
      <c r="O404" s="6"/>
      <c r="P404" s="6"/>
      <c r="Q404" s="6"/>
    </row>
    <row r="405" spans="1:18" ht="12.75" customHeight="1" x14ac:dyDescent="0.3">
      <c r="A405" s="6"/>
      <c r="B405" s="19">
        <v>402</v>
      </c>
      <c r="C405" s="20" t="str">
        <f>NamaPelanggan!C404</f>
        <v>SUM-402</v>
      </c>
      <c r="D405" s="21" t="str">
        <f>NamaPelanggan!D404</f>
        <v>SUPANDIK</v>
      </c>
      <c r="E405" s="21" t="str">
        <f>NamaPelanggan!E404</f>
        <v>SUMBERWATU</v>
      </c>
      <c r="F405" s="23">
        <f>NamaPelanggan!H404</f>
        <v>100000</v>
      </c>
      <c r="G405" s="24"/>
      <c r="H405" s="24"/>
      <c r="I405" s="24">
        <v>100000</v>
      </c>
      <c r="J405" s="24"/>
      <c r="K405" s="24"/>
      <c r="L405" s="19" t="str">
        <f t="shared" si="11"/>
        <v>LUNAS</v>
      </c>
      <c r="M405" s="24"/>
      <c r="N405" s="22"/>
      <c r="O405" s="6"/>
      <c r="P405" s="6"/>
      <c r="Q405" s="6"/>
    </row>
    <row r="406" spans="1:18" ht="12.75" customHeight="1" x14ac:dyDescent="0.3">
      <c r="A406" s="6"/>
      <c r="B406" s="19">
        <v>403</v>
      </c>
      <c r="C406" s="20" t="str">
        <f>NamaPelanggan!C405</f>
        <v>SUM-403</v>
      </c>
      <c r="D406" s="21" t="str">
        <f>NamaPelanggan!D405</f>
        <v>VILA@SERUNI ( terusan )</v>
      </c>
      <c r="E406" s="21" t="str">
        <f>NamaPelanggan!E405</f>
        <v>SUMBERWATU</v>
      </c>
      <c r="F406" s="23">
        <f>NamaPelanggan!H405</f>
        <v>100000</v>
      </c>
      <c r="G406" s="24"/>
      <c r="H406" s="24"/>
      <c r="I406" s="24"/>
      <c r="J406" s="24"/>
      <c r="K406" s="24"/>
      <c r="L406" s="19" t="str">
        <f t="shared" si="11"/>
        <v>BELUM LUNAS</v>
      </c>
      <c r="M406" s="24">
        <v>100000</v>
      </c>
      <c r="N406" s="22" t="s">
        <v>574</v>
      </c>
      <c r="O406" s="6"/>
      <c r="P406" s="6"/>
      <c r="Q406" s="6"/>
    </row>
    <row r="407" spans="1:18" ht="12.75" customHeight="1" x14ac:dyDescent="0.3">
      <c r="A407" s="6"/>
      <c r="B407" s="19">
        <v>404</v>
      </c>
      <c r="C407" s="20" t="str">
        <f>NamaPelanggan!C406</f>
        <v>SUM-404</v>
      </c>
      <c r="D407" s="21" t="str">
        <f>NamaPelanggan!D406</f>
        <v>YOSI@SUMBERWATU</v>
      </c>
      <c r="E407" s="21" t="str">
        <f>NamaPelanggan!E406</f>
        <v>SUMBERWATU</v>
      </c>
      <c r="F407" s="23">
        <f>NamaPelanggan!H406</f>
        <v>100000</v>
      </c>
      <c r="G407" s="24"/>
      <c r="H407" s="24"/>
      <c r="I407" s="24">
        <v>100000</v>
      </c>
      <c r="J407" s="24"/>
      <c r="K407" s="24"/>
      <c r="L407" s="19" t="str">
        <f t="shared" si="11"/>
        <v>LUNAS</v>
      </c>
      <c r="M407" s="24"/>
      <c r="N407" s="22"/>
      <c r="O407" s="6"/>
      <c r="P407" s="6"/>
      <c r="Q407" s="6"/>
    </row>
    <row r="408" spans="1:18" ht="12.75" customHeight="1" x14ac:dyDescent="0.3">
      <c r="A408" s="6"/>
      <c r="B408" s="19">
        <v>405</v>
      </c>
      <c r="C408" s="20" t="str">
        <f>NamaPelanggan!C407</f>
        <v>SUM-405</v>
      </c>
      <c r="D408" s="21" t="str">
        <f>NamaPelanggan!D407</f>
        <v>YANTO</v>
      </c>
      <c r="E408" s="21" t="str">
        <f>NamaPelanggan!E407</f>
        <v>SUMBERWATU</v>
      </c>
      <c r="F408" s="23">
        <f>NamaPelanggan!H407</f>
        <v>100000</v>
      </c>
      <c r="G408" s="24"/>
      <c r="H408" s="24"/>
      <c r="I408" s="24">
        <v>100000</v>
      </c>
      <c r="J408" s="24"/>
      <c r="K408" s="24"/>
      <c r="L408" s="19" t="str">
        <f t="shared" si="11"/>
        <v>LUNAS</v>
      </c>
      <c r="M408" s="24"/>
      <c r="N408" s="22"/>
      <c r="O408" s="6"/>
      <c r="P408" s="6"/>
      <c r="Q408" s="6"/>
    </row>
    <row r="409" spans="1:18" ht="12.75" customHeight="1" x14ac:dyDescent="0.3">
      <c r="A409" s="6"/>
      <c r="B409" s="19">
        <v>406</v>
      </c>
      <c r="C409" s="20" t="str">
        <f>NamaPelanggan!C408</f>
        <v>SUM-406</v>
      </c>
      <c r="D409" s="21" t="str">
        <f>NamaPelanggan!D408</f>
        <v>INDAHSARI / uut</v>
      </c>
      <c r="E409" s="21" t="str">
        <f>NamaPelanggan!E408</f>
        <v>SUMBERWATU</v>
      </c>
      <c r="F409" s="23">
        <f>NamaPelanggan!H408</f>
        <v>100000</v>
      </c>
      <c r="G409" s="24"/>
      <c r="H409" s="24"/>
      <c r="I409" s="24">
        <v>100000</v>
      </c>
      <c r="J409" s="24"/>
      <c r="K409" s="24"/>
      <c r="L409" s="19" t="str">
        <f t="shared" si="11"/>
        <v>LUNAS</v>
      </c>
      <c r="M409" s="24"/>
      <c r="N409" s="22"/>
      <c r="O409" s="6"/>
      <c r="P409" s="6"/>
      <c r="Q409" s="6"/>
    </row>
    <row r="410" spans="1:18" ht="12.75" customHeight="1" x14ac:dyDescent="0.3">
      <c r="A410" s="6"/>
      <c r="B410" s="19">
        <v>407</v>
      </c>
      <c r="C410" s="20" t="str">
        <f>NamaPelanggan!C409</f>
        <v>SUM-407</v>
      </c>
      <c r="D410" s="21" t="str">
        <f>NamaPelanggan!D409</f>
        <v>SASKIA</v>
      </c>
      <c r="E410" s="21" t="str">
        <f>NamaPelanggan!E409</f>
        <v>SUMBERWATU</v>
      </c>
      <c r="F410" s="23">
        <f>NamaPelanggan!H409</f>
        <v>100000</v>
      </c>
      <c r="G410" s="24"/>
      <c r="H410" s="24"/>
      <c r="I410" s="24"/>
      <c r="J410" s="24"/>
      <c r="K410" s="24"/>
      <c r="L410" s="19" t="str">
        <f t="shared" si="11"/>
        <v>BELUM LUNAS</v>
      </c>
      <c r="M410" s="24">
        <v>100000</v>
      </c>
      <c r="N410" s="22" t="s">
        <v>574</v>
      </c>
      <c r="O410" s="6"/>
      <c r="P410" s="6"/>
      <c r="Q410" s="6"/>
    </row>
    <row r="411" spans="1:18" ht="12.75" customHeight="1" x14ac:dyDescent="0.3">
      <c r="A411" s="6"/>
      <c r="B411" s="19">
        <v>408</v>
      </c>
      <c r="C411" s="20" t="str">
        <f>NamaPelanggan!C410</f>
        <v>SUM-408</v>
      </c>
      <c r="D411" s="21" t="str">
        <f>NamaPelanggan!D410</f>
        <v>SRI/SUPIATI</v>
      </c>
      <c r="E411" s="21" t="str">
        <f>NamaPelanggan!E410</f>
        <v>SUMBERWATU</v>
      </c>
      <c r="F411" s="23">
        <f>NamaPelanggan!H410</f>
        <v>100000</v>
      </c>
      <c r="G411" s="24"/>
      <c r="H411" s="24"/>
      <c r="I411" s="24">
        <v>200000</v>
      </c>
      <c r="J411" s="24"/>
      <c r="K411" s="24"/>
      <c r="L411" s="19" t="str">
        <f t="shared" si="11"/>
        <v>LUNAS</v>
      </c>
      <c r="M411" s="24"/>
      <c r="N411" s="22"/>
      <c r="O411" s="6"/>
      <c r="P411" s="6"/>
      <c r="Q411" s="6"/>
    </row>
    <row r="412" spans="1:18" ht="12.75" customHeight="1" x14ac:dyDescent="0.3">
      <c r="A412" s="6"/>
      <c r="B412" s="19">
        <v>409</v>
      </c>
      <c r="C412" s="20" t="str">
        <f>NamaPelanggan!C411</f>
        <v>SUM-409</v>
      </c>
      <c r="D412" s="21" t="str">
        <f>NamaPelanggan!D411</f>
        <v>anis@ismanto</v>
      </c>
      <c r="E412" s="21" t="str">
        <f>NamaPelanggan!E411</f>
        <v>SUMBERWATU</v>
      </c>
      <c r="F412" s="23">
        <f>NamaPelanggan!H411</f>
        <v>100000</v>
      </c>
      <c r="G412" s="24"/>
      <c r="H412" s="24"/>
      <c r="I412" s="24">
        <v>100000</v>
      </c>
      <c r="J412" s="24"/>
      <c r="K412" s="24"/>
      <c r="L412" s="19" t="str">
        <f t="shared" si="11"/>
        <v>LUNAS</v>
      </c>
      <c r="M412" s="24"/>
      <c r="N412" s="22"/>
      <c r="O412" s="6"/>
      <c r="P412" s="6"/>
      <c r="Q412" s="6"/>
    </row>
    <row r="413" spans="1:18" ht="12.75" customHeight="1" x14ac:dyDescent="0.3">
      <c r="A413" s="6"/>
      <c r="B413" s="19">
        <v>410</v>
      </c>
      <c r="C413" s="20" t="str">
        <f>NamaPelanggan!C412</f>
        <v>SUM-410</v>
      </c>
      <c r="D413" s="21" t="str">
        <f>NamaPelanggan!D412</f>
        <v>AMEL</v>
      </c>
      <c r="E413" s="21" t="str">
        <f>NamaPelanggan!E412</f>
        <v>SUMBERWATU</v>
      </c>
      <c r="F413" s="23">
        <f>NamaPelanggan!H412</f>
        <v>100000</v>
      </c>
      <c r="G413" s="24"/>
      <c r="H413" s="24"/>
      <c r="I413" s="24"/>
      <c r="J413" s="24"/>
      <c r="K413" s="24"/>
      <c r="L413" s="19" t="str">
        <f t="shared" si="11"/>
        <v>BELUM LUNAS</v>
      </c>
      <c r="M413" s="24">
        <v>100000</v>
      </c>
      <c r="N413" s="22" t="s">
        <v>574</v>
      </c>
      <c r="O413" s="6"/>
      <c r="P413" s="6"/>
      <c r="Q413" s="6"/>
    </row>
    <row r="414" spans="1:18" ht="12.75" customHeight="1" x14ac:dyDescent="0.3">
      <c r="A414" s="6"/>
      <c r="B414" s="19">
        <v>411</v>
      </c>
      <c r="C414" s="20" t="str">
        <f>NamaPelanggan!C413</f>
        <v>SUM-411</v>
      </c>
      <c r="D414" s="21" t="str">
        <f>NamaPelanggan!D413</f>
        <v>usnan</v>
      </c>
      <c r="E414" s="21" t="str">
        <f>NamaPelanggan!E413</f>
        <v>SUMBERWATU</v>
      </c>
      <c r="F414" s="23">
        <f>NamaPelanggan!H413</f>
        <v>100000</v>
      </c>
      <c r="G414" s="24"/>
      <c r="H414" s="24"/>
      <c r="I414" s="24"/>
      <c r="J414" s="24"/>
      <c r="K414" s="24"/>
      <c r="L414" s="19" t="str">
        <f t="shared" si="11"/>
        <v>BELUM LUNAS</v>
      </c>
      <c r="M414" s="24">
        <v>100000</v>
      </c>
      <c r="N414" s="22" t="s">
        <v>574</v>
      </c>
      <c r="O414" s="6"/>
      <c r="P414" s="6"/>
      <c r="Q414" s="6"/>
    </row>
    <row r="415" spans="1:18" ht="12.75" customHeight="1" x14ac:dyDescent="0.3">
      <c r="A415" s="6"/>
      <c r="B415" s="19">
        <v>412</v>
      </c>
      <c r="C415" s="20" t="str">
        <f>NamaPelanggan!C414</f>
        <v>SER-412</v>
      </c>
      <c r="D415" s="21" t="str">
        <f>NamaPelanggan!D414</f>
        <v>mul</v>
      </c>
      <c r="E415" s="21" t="str">
        <f>NamaPelanggan!E414</f>
        <v>seruni</v>
      </c>
      <c r="F415" s="23">
        <f>NamaPelanggan!H414</f>
        <v>100000</v>
      </c>
      <c r="G415" s="24"/>
      <c r="H415" s="24"/>
      <c r="I415" s="24">
        <v>100000</v>
      </c>
      <c r="J415" s="24"/>
      <c r="K415" s="24"/>
      <c r="L415" s="19" t="str">
        <f t="shared" si="11"/>
        <v>LUNAS</v>
      </c>
      <c r="M415" s="24"/>
      <c r="N415" s="22"/>
      <c r="O415" s="6"/>
      <c r="P415" s="6"/>
      <c r="Q415" s="6"/>
    </row>
    <row r="416" spans="1:18" ht="12.75" customHeight="1" x14ac:dyDescent="0.3">
      <c r="A416" s="6"/>
      <c r="B416" s="19">
        <v>413</v>
      </c>
      <c r="C416" s="20" t="str">
        <f>NamaPelanggan!C415</f>
        <v>SER-413</v>
      </c>
      <c r="D416" s="21" t="str">
        <f>NamaPelanggan!D415</f>
        <v>hikmah</v>
      </c>
      <c r="E416" s="21" t="str">
        <f>NamaPelanggan!E415</f>
        <v>seruni</v>
      </c>
      <c r="F416" s="23">
        <f>NamaPelanggan!H415</f>
        <v>100000</v>
      </c>
      <c r="G416" s="24"/>
      <c r="H416" s="24"/>
      <c r="I416" s="24">
        <v>100000</v>
      </c>
      <c r="J416" s="24"/>
      <c r="K416" s="24"/>
      <c r="L416" s="19" t="str">
        <f t="shared" si="11"/>
        <v>LUNAS</v>
      </c>
      <c r="M416" s="24"/>
      <c r="N416" s="22"/>
      <c r="O416" s="6"/>
      <c r="P416" s="6"/>
      <c r="Q416" s="6"/>
    </row>
    <row r="417" spans="1:17" ht="12.75" customHeight="1" x14ac:dyDescent="0.3">
      <c r="A417" s="6"/>
      <c r="B417" s="19">
        <v>414</v>
      </c>
      <c r="C417" s="20" t="str">
        <f>NamaPelanggan!C416</f>
        <v>SER-414</v>
      </c>
      <c r="D417" s="21" t="str">
        <f>NamaPelanggan!D416</f>
        <v>karsono</v>
      </c>
      <c r="E417" s="21" t="str">
        <f>NamaPelanggan!E416</f>
        <v>seruni</v>
      </c>
      <c r="F417" s="23">
        <f>NamaPelanggan!H416</f>
        <v>100000</v>
      </c>
      <c r="G417" s="24"/>
      <c r="H417" s="24"/>
      <c r="I417" s="24">
        <v>100000</v>
      </c>
      <c r="J417" s="24"/>
      <c r="K417" s="24"/>
      <c r="L417" s="19" t="str">
        <f t="shared" si="11"/>
        <v>LUNAS</v>
      </c>
      <c r="M417" s="24"/>
      <c r="N417" s="22"/>
      <c r="O417" s="6"/>
      <c r="P417" s="6"/>
      <c r="Q417" s="6"/>
    </row>
    <row r="418" spans="1:17" ht="12.75" customHeight="1" x14ac:dyDescent="0.3">
      <c r="A418" s="6"/>
      <c r="B418" s="19">
        <v>415</v>
      </c>
      <c r="C418" s="20" t="str">
        <f>NamaPelanggan!C417</f>
        <v>SER-415</v>
      </c>
      <c r="D418" s="21" t="str">
        <f>NamaPelanggan!D417</f>
        <v>inul</v>
      </c>
      <c r="E418" s="21" t="str">
        <f>NamaPelanggan!E417</f>
        <v>seruni</v>
      </c>
      <c r="F418" s="23">
        <f>NamaPelanggan!H417</f>
        <v>100000</v>
      </c>
      <c r="G418" s="24"/>
      <c r="H418" s="24"/>
      <c r="I418" s="24">
        <v>100000</v>
      </c>
      <c r="J418" s="24"/>
      <c r="K418" s="24"/>
      <c r="L418" s="19" t="str">
        <f t="shared" si="11"/>
        <v>LUNAS</v>
      </c>
      <c r="M418" s="24"/>
      <c r="N418" s="22"/>
      <c r="O418" s="6"/>
      <c r="P418" s="6"/>
      <c r="Q418" s="6"/>
    </row>
    <row r="419" spans="1:17" ht="12.75" customHeight="1" x14ac:dyDescent="0.3">
      <c r="A419" s="6"/>
      <c r="B419" s="19">
        <v>416</v>
      </c>
      <c r="C419" s="20" t="str">
        <f>NamaPelanggan!C418</f>
        <v>SER-416</v>
      </c>
      <c r="D419" s="21" t="str">
        <f>NamaPelanggan!D418</f>
        <v>Rita</v>
      </c>
      <c r="E419" s="21" t="str">
        <f>NamaPelanggan!E418</f>
        <v>seruni</v>
      </c>
      <c r="F419" s="23">
        <f>NamaPelanggan!H418</f>
        <v>100000</v>
      </c>
      <c r="G419" s="24"/>
      <c r="H419" s="24"/>
      <c r="I419" s="24">
        <v>100000</v>
      </c>
      <c r="J419" s="24"/>
      <c r="K419" s="24"/>
      <c r="L419" s="19" t="str">
        <f t="shared" si="11"/>
        <v>LUNAS</v>
      </c>
      <c r="M419" s="24"/>
      <c r="N419" s="22"/>
      <c r="O419" s="6"/>
      <c r="P419" s="6"/>
      <c r="Q419" s="6"/>
    </row>
    <row r="420" spans="1:17" ht="12.75" customHeight="1" x14ac:dyDescent="0.3">
      <c r="A420" s="6"/>
      <c r="B420" s="19">
        <v>417</v>
      </c>
      <c r="C420" s="20" t="str">
        <f>NamaPelanggan!C419</f>
        <v>SER-417</v>
      </c>
      <c r="D420" s="21" t="str">
        <f>NamaPelanggan!D419</f>
        <v>payumi</v>
      </c>
      <c r="E420" s="21" t="str">
        <f>NamaPelanggan!E419</f>
        <v>seruni</v>
      </c>
      <c r="F420" s="23">
        <f>NamaPelanggan!H419</f>
        <v>100000</v>
      </c>
      <c r="G420" s="24"/>
      <c r="H420" s="24"/>
      <c r="I420" s="24">
        <v>100000</v>
      </c>
      <c r="J420" s="24"/>
      <c r="K420" s="24"/>
      <c r="L420" s="19" t="str">
        <f t="shared" si="11"/>
        <v>LUNAS</v>
      </c>
      <c r="M420" s="24"/>
      <c r="N420" s="22"/>
      <c r="O420" s="6"/>
      <c r="P420" s="6"/>
      <c r="Q420" s="6"/>
    </row>
    <row r="421" spans="1:17" ht="12.75" customHeight="1" x14ac:dyDescent="0.3">
      <c r="A421" s="6"/>
      <c r="B421" s="19">
        <v>418</v>
      </c>
      <c r="C421" s="20" t="str">
        <f>NamaPelanggan!C420</f>
        <v>SUM-418</v>
      </c>
      <c r="D421" s="21" t="str">
        <f>NamaPelanggan!D420</f>
        <v>ALIMAH</v>
      </c>
      <c r="E421" s="21" t="str">
        <f>NamaPelanggan!E420</f>
        <v>SUMBERWATU</v>
      </c>
      <c r="F421" s="23">
        <f>NamaPelanggan!H420</f>
        <v>100000</v>
      </c>
      <c r="G421" s="24"/>
      <c r="H421" s="24"/>
      <c r="I421" s="24">
        <v>100000</v>
      </c>
      <c r="J421" s="24"/>
      <c r="K421" s="24"/>
      <c r="L421" s="19" t="str">
        <f t="shared" si="11"/>
        <v>LUNAS</v>
      </c>
      <c r="M421" s="24"/>
      <c r="N421" s="22"/>
      <c r="O421" s="6"/>
      <c r="P421" s="6"/>
      <c r="Q421" s="6"/>
    </row>
    <row r="422" spans="1:17" ht="12.75" customHeight="1" x14ac:dyDescent="0.3">
      <c r="A422" s="6"/>
      <c r="B422" s="19">
        <v>419</v>
      </c>
      <c r="C422" s="20" t="str">
        <f>NamaPelanggan!C421</f>
        <v>SUM-419</v>
      </c>
      <c r="D422" s="21" t="str">
        <f>NamaPelanggan!D421</f>
        <v>Lailatul</v>
      </c>
      <c r="E422" s="21" t="str">
        <f>NamaPelanggan!E421</f>
        <v>SUMBERWATU</v>
      </c>
      <c r="F422" s="23">
        <f>NamaPelanggan!H421</f>
        <v>100000</v>
      </c>
      <c r="G422" s="24"/>
      <c r="H422" s="24"/>
      <c r="I422" s="24">
        <v>100000</v>
      </c>
      <c r="J422" s="24"/>
      <c r="K422" s="24"/>
      <c r="L422" s="19" t="str">
        <f t="shared" si="11"/>
        <v>LUNAS</v>
      </c>
      <c r="M422" s="24"/>
      <c r="N422" s="22"/>
      <c r="O422" s="6"/>
      <c r="P422" s="6"/>
      <c r="Q422" s="6"/>
    </row>
    <row r="423" spans="1:17" ht="12.75" customHeight="1" x14ac:dyDescent="0.3">
      <c r="A423" s="6"/>
      <c r="B423" s="19">
        <v>420</v>
      </c>
      <c r="C423" s="20" t="str">
        <f>NamaPelanggan!C422</f>
        <v>SUM-420</v>
      </c>
      <c r="D423" s="21" t="str">
        <f>NamaPelanggan!D422</f>
        <v>Saitun</v>
      </c>
      <c r="E423" s="21" t="str">
        <f>NamaPelanggan!E422</f>
        <v>SUMBERWATU</v>
      </c>
      <c r="F423" s="23">
        <f>NamaPelanggan!H422</f>
        <v>100000</v>
      </c>
      <c r="G423" s="24"/>
      <c r="H423" s="24"/>
      <c r="I423" s="24">
        <v>100000</v>
      </c>
      <c r="J423" s="24"/>
      <c r="K423" s="24"/>
      <c r="L423" s="19" t="str">
        <f t="shared" si="11"/>
        <v>LUNAS</v>
      </c>
      <c r="M423" s="24"/>
      <c r="N423" s="22"/>
      <c r="O423" s="6"/>
      <c r="P423" s="6"/>
      <c r="Q423" s="6"/>
    </row>
    <row r="424" spans="1:17" ht="12.75" customHeight="1" x14ac:dyDescent="0.3">
      <c r="A424" s="6"/>
      <c r="B424" s="19">
        <v>421</v>
      </c>
      <c r="C424" s="20" t="str">
        <f>NamaPelanggan!C423</f>
        <v>SUM-421</v>
      </c>
      <c r="D424" s="21" t="str">
        <f>NamaPelanggan!D423</f>
        <v>rehan</v>
      </c>
      <c r="E424" s="21" t="str">
        <f>NamaPelanggan!E423</f>
        <v>SUMBERWATU</v>
      </c>
      <c r="F424" s="23">
        <f>NamaPelanggan!H423</f>
        <v>100000</v>
      </c>
      <c r="G424" s="24"/>
      <c r="H424" s="24"/>
      <c r="I424" s="24">
        <v>100000</v>
      </c>
      <c r="J424" s="24"/>
      <c r="K424" s="24"/>
      <c r="L424" s="19" t="str">
        <f t="shared" si="11"/>
        <v>LUNAS</v>
      </c>
      <c r="M424" s="24"/>
      <c r="N424" s="22"/>
      <c r="O424" s="6"/>
      <c r="P424" s="6"/>
      <c r="Q424" s="6"/>
    </row>
    <row r="425" spans="1:17" ht="12.75" customHeight="1" x14ac:dyDescent="0.3">
      <c r="A425" s="6"/>
      <c r="B425" s="19">
        <v>422</v>
      </c>
      <c r="C425" s="20" t="str">
        <f>NamaPelanggan!C424</f>
        <v>SUM-422</v>
      </c>
      <c r="D425" s="21" t="str">
        <f>NamaPelanggan!D424</f>
        <v>YAYAN</v>
      </c>
      <c r="E425" s="21" t="str">
        <f>NamaPelanggan!E424</f>
        <v>SUMBERWATU</v>
      </c>
      <c r="F425" s="23">
        <f>NamaPelanggan!H424</f>
        <v>75000</v>
      </c>
      <c r="G425" s="24"/>
      <c r="H425" s="24"/>
      <c r="I425" s="24">
        <v>75000</v>
      </c>
      <c r="J425" s="24"/>
      <c r="K425" s="24"/>
      <c r="L425" s="19" t="str">
        <f t="shared" si="11"/>
        <v>LUNAS</v>
      </c>
      <c r="M425" s="24"/>
      <c r="N425" s="22"/>
      <c r="O425" s="6"/>
      <c r="P425" s="6"/>
      <c r="Q425" s="6"/>
    </row>
    <row r="426" spans="1:17" ht="12.75" customHeight="1" x14ac:dyDescent="0.3">
      <c r="A426" s="6"/>
      <c r="B426" s="19">
        <v>423</v>
      </c>
      <c r="C426" s="20" t="str">
        <f>NamaPelanggan!C425</f>
        <v>SUM-423</v>
      </c>
      <c r="D426" s="21" t="str">
        <f>NamaPelanggan!D425</f>
        <v>SURYADI</v>
      </c>
      <c r="E426" s="21" t="str">
        <f>NamaPelanggan!E425</f>
        <v>SUMBERWATU</v>
      </c>
      <c r="F426" s="23">
        <f>NamaPelanggan!H425</f>
        <v>75000</v>
      </c>
      <c r="G426" s="24"/>
      <c r="H426" s="24"/>
      <c r="I426" s="24">
        <v>75000</v>
      </c>
      <c r="J426" s="24"/>
      <c r="K426" s="24"/>
      <c r="L426" s="19" t="str">
        <f t="shared" si="11"/>
        <v>LUNAS</v>
      </c>
      <c r="M426" s="24"/>
      <c r="N426" s="22"/>
      <c r="O426" s="6"/>
      <c r="P426" s="6"/>
      <c r="Q426" s="6"/>
    </row>
    <row r="427" spans="1:17" ht="12.75" customHeight="1" x14ac:dyDescent="0.3">
      <c r="A427" s="6"/>
      <c r="B427" s="19">
        <v>424</v>
      </c>
      <c r="C427" s="20" t="str">
        <f>NamaPelanggan!C426</f>
        <v>SUM-424</v>
      </c>
      <c r="D427" s="21" t="str">
        <f>NamaPelanggan!D426</f>
        <v>P.DEJO@PADEPOKAN</v>
      </c>
      <c r="E427" s="21" t="str">
        <f>NamaPelanggan!E426</f>
        <v>SUMBERWATU</v>
      </c>
      <c r="F427" s="23">
        <f>NamaPelanggan!H426</f>
        <v>200000</v>
      </c>
      <c r="G427" s="24"/>
      <c r="H427" s="24"/>
      <c r="I427" s="24">
        <v>200000</v>
      </c>
      <c r="J427" s="24"/>
      <c r="K427" s="24"/>
      <c r="L427" s="19" t="str">
        <f t="shared" si="11"/>
        <v>LUNAS</v>
      </c>
      <c r="M427" s="24"/>
      <c r="N427" s="22"/>
      <c r="O427" s="6"/>
      <c r="P427" s="6"/>
      <c r="Q427" s="6"/>
    </row>
    <row r="428" spans="1:17" ht="12.75" customHeight="1" x14ac:dyDescent="0.3">
      <c r="A428" s="6"/>
      <c r="B428" s="19">
        <v>425</v>
      </c>
      <c r="C428" s="20" t="str">
        <f>NamaPelanggan!C427</f>
        <v>SUM-425</v>
      </c>
      <c r="D428" s="21" t="str">
        <f>NamaPelanggan!D427</f>
        <v>HADI@HOMESTAY</v>
      </c>
      <c r="E428" s="21" t="str">
        <f>NamaPelanggan!E427</f>
        <v>SUMBERWATU</v>
      </c>
      <c r="F428" s="23">
        <f>NamaPelanggan!H427</f>
        <v>200000</v>
      </c>
      <c r="G428" s="24"/>
      <c r="H428" s="24"/>
      <c r="I428" s="24">
        <v>200000</v>
      </c>
      <c r="J428" s="24"/>
      <c r="K428" s="24"/>
      <c r="L428" s="19" t="str">
        <f t="shared" si="11"/>
        <v>LUNAS</v>
      </c>
      <c r="M428" s="24"/>
      <c r="N428" s="22"/>
      <c r="O428" s="6"/>
      <c r="P428" s="6"/>
      <c r="Q428" s="6"/>
    </row>
    <row r="429" spans="1:17" ht="12.75" customHeight="1" x14ac:dyDescent="0.3">
      <c r="A429" s="6"/>
      <c r="B429" s="19">
        <v>426</v>
      </c>
      <c r="C429" s="20" t="str">
        <f>NamaPelanggan!C428</f>
        <v>SUM-426</v>
      </c>
      <c r="D429" s="21" t="str">
        <f>NamaPelanggan!D428</f>
        <v>LEKEKO</v>
      </c>
      <c r="E429" s="21" t="str">
        <f>NamaPelanggan!E428</f>
        <v>SUMBERWATU</v>
      </c>
      <c r="F429" s="23">
        <f>NamaPelanggan!H428</f>
        <v>100000</v>
      </c>
      <c r="G429" s="24"/>
      <c r="H429" s="24"/>
      <c r="I429" s="24"/>
      <c r="J429" s="24"/>
      <c r="K429" s="24"/>
      <c r="L429" s="19" t="str">
        <f t="shared" si="11"/>
        <v>BELUM LUNAS</v>
      </c>
      <c r="M429" s="24">
        <v>500000</v>
      </c>
      <c r="N429" s="22" t="s">
        <v>578</v>
      </c>
      <c r="O429" s="6"/>
      <c r="P429" s="6"/>
      <c r="Q429" s="6"/>
    </row>
    <row r="430" spans="1:17" ht="12.75" customHeight="1" x14ac:dyDescent="0.3">
      <c r="A430" s="6"/>
      <c r="B430" s="19">
        <v>427</v>
      </c>
      <c r="C430" s="20" t="str">
        <f>NamaPelanggan!C429</f>
        <v>SUM-427</v>
      </c>
      <c r="D430" s="21" t="str">
        <f>NamaPelanggan!D429</f>
        <v>ALHIDAYAH ( masjid )</v>
      </c>
      <c r="E430" s="21" t="str">
        <f>NamaPelanggan!E429</f>
        <v>SUMBERWATU</v>
      </c>
      <c r="F430" s="23" t="str">
        <f>NamaPelanggan!H429</f>
        <v>free</v>
      </c>
      <c r="G430" s="24"/>
      <c r="H430" s="24"/>
      <c r="I430" s="24"/>
      <c r="J430" s="24"/>
      <c r="K430" s="24"/>
      <c r="L430" s="19" t="s">
        <v>550</v>
      </c>
      <c r="M430" s="24"/>
      <c r="N430" s="22"/>
      <c r="O430" s="6"/>
      <c r="P430" s="6"/>
      <c r="Q430" s="6"/>
    </row>
    <row r="431" spans="1:17" ht="12.75" customHeight="1" x14ac:dyDescent="0.3">
      <c r="A431" s="6"/>
      <c r="B431" s="19">
        <v>428</v>
      </c>
      <c r="C431" s="20" t="str">
        <f>NamaPelanggan!C430</f>
        <v>SUM-428</v>
      </c>
      <c r="D431" s="21" t="str">
        <f>NamaPelanggan!D430</f>
        <v>pandik@yuni</v>
      </c>
      <c r="E431" s="21" t="str">
        <f>NamaPelanggan!E430</f>
        <v>SUMBERWATU</v>
      </c>
      <c r="F431" s="23">
        <f>NamaPelanggan!H430</f>
        <v>100000</v>
      </c>
      <c r="G431" s="24"/>
      <c r="H431" s="24"/>
      <c r="I431" s="24">
        <v>100000</v>
      </c>
      <c r="J431" s="24"/>
      <c r="K431" s="24"/>
      <c r="L431" s="19" t="str">
        <f t="shared" si="11"/>
        <v>LUNAS</v>
      </c>
      <c r="M431" s="24"/>
      <c r="N431" s="22"/>
      <c r="O431" s="6"/>
      <c r="P431" s="6"/>
      <c r="Q431" s="6"/>
    </row>
    <row r="432" spans="1:17" ht="12.75" customHeight="1" x14ac:dyDescent="0.3">
      <c r="A432" s="6"/>
      <c r="B432" s="19">
        <v>429</v>
      </c>
      <c r="C432" s="20" t="str">
        <f>NamaPelanggan!C431</f>
        <v>SUM-429</v>
      </c>
      <c r="D432" s="21" t="str">
        <f>NamaPelanggan!D431</f>
        <v>david</v>
      </c>
      <c r="E432" s="21" t="str">
        <f>NamaPelanggan!E431</f>
        <v>SUMBERWATU</v>
      </c>
      <c r="F432" s="23">
        <f>NamaPelanggan!H431</f>
        <v>200000</v>
      </c>
      <c r="G432" s="24"/>
      <c r="H432" s="24"/>
      <c r="I432" s="24">
        <v>200000</v>
      </c>
      <c r="J432" s="24"/>
      <c r="K432" s="24"/>
      <c r="L432" s="19" t="str">
        <f t="shared" si="11"/>
        <v>LUNAS</v>
      </c>
      <c r="M432" s="24"/>
      <c r="N432" s="22"/>
      <c r="O432" s="6"/>
      <c r="P432" s="6"/>
      <c r="Q432" s="6"/>
    </row>
    <row r="433" spans="1:17" ht="12.75" customHeight="1" x14ac:dyDescent="0.3">
      <c r="A433" s="6"/>
      <c r="B433" s="19">
        <v>430</v>
      </c>
      <c r="C433" s="20" t="str">
        <f>NamaPelanggan!C432</f>
        <v>TAM-430</v>
      </c>
      <c r="D433" s="21" t="str">
        <f>NamaPelanggan!D432</f>
        <v>AGUS@TRIK</v>
      </c>
      <c r="E433" s="21" t="str">
        <f>NamaPelanggan!E432</f>
        <v>TAMANSARI</v>
      </c>
      <c r="F433" s="23">
        <f>NamaPelanggan!H432</f>
        <v>100000</v>
      </c>
      <c r="G433" s="24"/>
      <c r="H433" s="24"/>
      <c r="I433" s="24">
        <v>100000</v>
      </c>
      <c r="J433" s="24"/>
      <c r="K433" s="24"/>
      <c r="L433" s="19" t="s">
        <v>548</v>
      </c>
      <c r="M433" s="24">
        <v>100000</v>
      </c>
      <c r="N433" s="22" t="s">
        <v>574</v>
      </c>
      <c r="O433" s="6"/>
      <c r="P433" s="6"/>
      <c r="Q433" s="6"/>
    </row>
    <row r="434" spans="1:17" ht="12.75" customHeight="1" x14ac:dyDescent="0.3">
      <c r="A434" s="6"/>
      <c r="B434" s="19">
        <v>431</v>
      </c>
      <c r="C434" s="20" t="str">
        <f>NamaPelanggan!C433</f>
        <v>TAM-431</v>
      </c>
      <c r="D434" s="21" t="str">
        <f>NamaPelanggan!D433</f>
        <v>ANTO@YUNI</v>
      </c>
      <c r="E434" s="21" t="str">
        <f>NamaPelanggan!E433</f>
        <v>TAMANSARI</v>
      </c>
      <c r="F434" s="23">
        <f>NamaPelanggan!H433</f>
        <v>100000</v>
      </c>
      <c r="G434" s="24"/>
      <c r="H434" s="24"/>
      <c r="I434" s="24">
        <v>100000</v>
      </c>
      <c r="J434" s="24"/>
      <c r="K434" s="24"/>
      <c r="L434" s="19" t="str">
        <f t="shared" si="11"/>
        <v>LUNAS</v>
      </c>
      <c r="M434" s="24"/>
      <c r="N434" s="22"/>
      <c r="O434" s="6"/>
      <c r="P434" s="6"/>
      <c r="Q434" s="6"/>
    </row>
    <row r="435" spans="1:17" ht="12.75" customHeight="1" x14ac:dyDescent="0.3">
      <c r="A435" s="6"/>
      <c r="B435" s="19">
        <v>432</v>
      </c>
      <c r="C435" s="20" t="str">
        <f>NamaPelanggan!C434</f>
        <v>TAM-432</v>
      </c>
      <c r="D435" s="21" t="str">
        <f>NamaPelanggan!D434</f>
        <v>BAKIR</v>
      </c>
      <c r="E435" s="21" t="str">
        <f>NamaPelanggan!E434</f>
        <v>TAMANSARI</v>
      </c>
      <c r="F435" s="23">
        <f>NamaPelanggan!H434</f>
        <v>100000</v>
      </c>
      <c r="G435" s="24"/>
      <c r="H435" s="24"/>
      <c r="I435" s="24"/>
      <c r="J435" s="24"/>
      <c r="K435" s="24"/>
      <c r="L435" s="19" t="str">
        <f t="shared" si="11"/>
        <v>BELUM LUNAS</v>
      </c>
      <c r="M435" s="24">
        <v>100000</v>
      </c>
      <c r="N435" s="22" t="s">
        <v>574</v>
      </c>
      <c r="O435" s="6"/>
      <c r="P435" s="6"/>
      <c r="Q435" s="6"/>
    </row>
    <row r="436" spans="1:17" ht="12.75" customHeight="1" x14ac:dyDescent="0.3">
      <c r="A436" s="6"/>
      <c r="B436" s="19">
        <v>433</v>
      </c>
      <c r="C436" s="20" t="str">
        <f>NamaPelanggan!C435</f>
        <v>TAM-433</v>
      </c>
      <c r="D436" s="21" t="str">
        <f>NamaPelanggan!D435</f>
        <v>BUANG</v>
      </c>
      <c r="E436" s="21" t="str">
        <f>NamaPelanggan!E435</f>
        <v>TAMANSARI</v>
      </c>
      <c r="F436" s="23">
        <f>NamaPelanggan!H435</f>
        <v>100000</v>
      </c>
      <c r="G436" s="24"/>
      <c r="H436" s="24"/>
      <c r="I436" s="24">
        <v>100000</v>
      </c>
      <c r="J436" s="24"/>
      <c r="K436" s="24"/>
      <c r="L436" s="19" t="str">
        <f t="shared" si="11"/>
        <v>LUNAS</v>
      </c>
      <c r="M436" s="24"/>
      <c r="N436" s="22"/>
      <c r="O436" s="6"/>
      <c r="P436" s="6"/>
      <c r="Q436" s="6"/>
    </row>
    <row r="437" spans="1:17" ht="12.75" customHeight="1" x14ac:dyDescent="0.3">
      <c r="A437" s="6"/>
      <c r="B437" s="19">
        <v>434</v>
      </c>
      <c r="C437" s="20" t="str">
        <f>NamaPelanggan!C436</f>
        <v>TAM-434</v>
      </c>
      <c r="D437" s="21" t="str">
        <f>NamaPelanggan!D436</f>
        <v>DIANSRI</v>
      </c>
      <c r="E437" s="21" t="str">
        <f>NamaPelanggan!E436</f>
        <v>TAMANSARI</v>
      </c>
      <c r="F437" s="23">
        <f>NamaPelanggan!H436</f>
        <v>100000</v>
      </c>
      <c r="G437" s="24"/>
      <c r="H437" s="24"/>
      <c r="I437" s="24">
        <v>100000</v>
      </c>
      <c r="J437" s="24"/>
      <c r="K437" s="24"/>
      <c r="L437" s="19" t="str">
        <f t="shared" si="11"/>
        <v>LUNAS</v>
      </c>
      <c r="M437" s="24"/>
      <c r="N437" s="22"/>
      <c r="O437" s="6"/>
      <c r="P437" s="6"/>
      <c r="Q437" s="6"/>
    </row>
    <row r="438" spans="1:17" ht="12.75" customHeight="1" x14ac:dyDescent="0.3">
      <c r="A438" s="6"/>
      <c r="B438" s="19">
        <v>435</v>
      </c>
      <c r="C438" s="20" t="str">
        <f>NamaPelanggan!C437</f>
        <v>TAM-435</v>
      </c>
      <c r="D438" s="21" t="str">
        <f>NamaPelanggan!D437</f>
        <v>DIKIN</v>
      </c>
      <c r="E438" s="21" t="str">
        <f>NamaPelanggan!E437</f>
        <v>TAMANSARI</v>
      </c>
      <c r="F438" s="23">
        <f>NamaPelanggan!H437</f>
        <v>100000</v>
      </c>
      <c r="G438" s="24"/>
      <c r="H438" s="24"/>
      <c r="I438" s="24">
        <v>100000</v>
      </c>
      <c r="J438" s="24"/>
      <c r="K438" s="24"/>
      <c r="L438" s="19" t="str">
        <f t="shared" si="11"/>
        <v>LUNAS</v>
      </c>
      <c r="M438" s="24"/>
      <c r="N438" s="22"/>
      <c r="O438" s="6"/>
      <c r="P438" s="6"/>
      <c r="Q438" s="6"/>
    </row>
    <row r="439" spans="1:17" ht="12.75" customHeight="1" x14ac:dyDescent="0.3">
      <c r="A439" s="6"/>
      <c r="B439" s="19">
        <v>436</v>
      </c>
      <c r="C439" s="20" t="str">
        <f>NamaPelanggan!C438</f>
        <v>TAM-436</v>
      </c>
      <c r="D439" s="21" t="str">
        <f>NamaPelanggan!D438</f>
        <v>FERDI</v>
      </c>
      <c r="E439" s="21" t="str">
        <f>NamaPelanggan!E438</f>
        <v>TAMANSARI</v>
      </c>
      <c r="F439" s="23">
        <f>NamaPelanggan!H438</f>
        <v>100000</v>
      </c>
      <c r="G439" s="24"/>
      <c r="H439" s="24"/>
      <c r="I439" s="24">
        <v>100000</v>
      </c>
      <c r="J439" s="24"/>
      <c r="K439" s="24"/>
      <c r="L439" s="19" t="str">
        <f t="shared" si="11"/>
        <v>LUNAS</v>
      </c>
      <c r="M439" s="24"/>
      <c r="N439" s="22"/>
      <c r="O439" s="6"/>
      <c r="P439" s="6"/>
      <c r="Q439" s="6"/>
    </row>
    <row r="440" spans="1:17" ht="12.75" customHeight="1" x14ac:dyDescent="0.3">
      <c r="A440" s="6"/>
      <c r="B440" s="19">
        <v>437</v>
      </c>
      <c r="C440" s="20" t="str">
        <f>NamaPelanggan!C439</f>
        <v>TAM-437</v>
      </c>
      <c r="D440" s="21" t="str">
        <f>NamaPelanggan!D439</f>
        <v>KARNO</v>
      </c>
      <c r="E440" s="21" t="str">
        <f>NamaPelanggan!E439</f>
        <v>TAMANSARI</v>
      </c>
      <c r="F440" s="23">
        <f>NamaPelanggan!H439</f>
        <v>100000</v>
      </c>
      <c r="G440" s="24"/>
      <c r="H440" s="24"/>
      <c r="I440" s="24">
        <v>100000</v>
      </c>
      <c r="J440" s="24"/>
      <c r="K440" s="24"/>
      <c r="L440" s="19" t="str">
        <f t="shared" si="11"/>
        <v>LUNAS</v>
      </c>
      <c r="M440" s="24"/>
      <c r="N440" s="22"/>
      <c r="O440" s="6"/>
      <c r="P440" s="6"/>
      <c r="Q440" s="6"/>
    </row>
    <row r="441" spans="1:17" ht="12.75" customHeight="1" x14ac:dyDescent="0.3">
      <c r="A441" s="6"/>
      <c r="B441" s="19">
        <v>438</v>
      </c>
      <c r="C441" s="20" t="str">
        <f>NamaPelanggan!C440</f>
        <v>TAM-438</v>
      </c>
      <c r="D441" s="21" t="str">
        <f>NamaPelanggan!D440</f>
        <v>KASTINI@HOMESTAY</v>
      </c>
      <c r="E441" s="21" t="str">
        <f>NamaPelanggan!E440</f>
        <v>TAMANSARI</v>
      </c>
      <c r="F441" s="23">
        <f>NamaPelanggan!H440</f>
        <v>100000</v>
      </c>
      <c r="G441" s="24"/>
      <c r="H441" s="24"/>
      <c r="I441" s="24">
        <v>100000</v>
      </c>
      <c r="J441" s="24"/>
      <c r="K441" s="24"/>
      <c r="L441" s="19" t="str">
        <f t="shared" si="11"/>
        <v>LUNAS</v>
      </c>
      <c r="M441" s="24"/>
      <c r="N441" s="22"/>
      <c r="O441" s="6"/>
      <c r="P441" s="6"/>
      <c r="Q441" s="6"/>
    </row>
    <row r="442" spans="1:17" ht="12.75" customHeight="1" x14ac:dyDescent="0.3">
      <c r="A442" s="6"/>
      <c r="B442" s="19">
        <v>439</v>
      </c>
      <c r="C442" s="20" t="str">
        <f>NamaPelanggan!C441</f>
        <v>TAM-439</v>
      </c>
      <c r="D442" s="21" t="str">
        <f>NamaPelanggan!D441</f>
        <v>LINA@ALAH</v>
      </c>
      <c r="E442" s="21" t="str">
        <f>NamaPelanggan!E441</f>
        <v>TAMANSARI</v>
      </c>
      <c r="F442" s="23">
        <f>NamaPelanggan!H441</f>
        <v>100000</v>
      </c>
      <c r="G442" s="24"/>
      <c r="H442" s="24"/>
      <c r="I442" s="24">
        <v>100000</v>
      </c>
      <c r="J442" s="24"/>
      <c r="K442" s="24"/>
      <c r="L442" s="19" t="str">
        <f t="shared" si="11"/>
        <v>LUNAS</v>
      </c>
      <c r="M442" s="24"/>
      <c r="N442" s="22"/>
      <c r="O442" s="6"/>
      <c r="P442" s="6"/>
      <c r="Q442" s="6"/>
    </row>
    <row r="443" spans="1:17" ht="12.75" customHeight="1" x14ac:dyDescent="0.3">
      <c r="A443" s="6"/>
      <c r="B443" s="19">
        <v>440</v>
      </c>
      <c r="C443" s="20" t="str">
        <f>NamaPelanggan!C442</f>
        <v>TAM-440</v>
      </c>
      <c r="D443" s="21" t="str">
        <f>NamaPelanggan!D442</f>
        <v>MEI</v>
      </c>
      <c r="E443" s="21" t="str">
        <f>NamaPelanggan!E442</f>
        <v>TAMANSARI</v>
      </c>
      <c r="F443" s="23">
        <f>NamaPelanggan!H442</f>
        <v>100000</v>
      </c>
      <c r="G443" s="24"/>
      <c r="H443" s="24"/>
      <c r="I443" s="24">
        <v>100000</v>
      </c>
      <c r="J443" s="24"/>
      <c r="K443" s="24"/>
      <c r="L443" s="19" t="str">
        <f t="shared" si="11"/>
        <v>LUNAS</v>
      </c>
      <c r="M443" s="24"/>
      <c r="N443" s="22"/>
      <c r="O443" s="6"/>
      <c r="P443" s="6"/>
      <c r="Q443" s="6"/>
    </row>
    <row r="444" spans="1:17" ht="12.75" customHeight="1" x14ac:dyDescent="0.3">
      <c r="A444" s="6"/>
      <c r="B444" s="19">
        <v>441</v>
      </c>
      <c r="C444" s="20" t="str">
        <f>NamaPelanggan!C443</f>
        <v>TAM-441</v>
      </c>
      <c r="D444" s="21" t="str">
        <f>NamaPelanggan!D443</f>
        <v>NUR@MIS</v>
      </c>
      <c r="E444" s="21" t="str">
        <f>NamaPelanggan!E443</f>
        <v>TAMANSARI</v>
      </c>
      <c r="F444" s="23">
        <f>NamaPelanggan!H443</f>
        <v>100000</v>
      </c>
      <c r="G444" s="24"/>
      <c r="H444" s="24"/>
      <c r="I444" s="24">
        <v>100000</v>
      </c>
      <c r="J444" s="24"/>
      <c r="K444" s="24"/>
      <c r="L444" s="19" t="str">
        <f t="shared" si="11"/>
        <v>LUNAS</v>
      </c>
      <c r="M444" s="24"/>
      <c r="N444" s="22"/>
      <c r="O444" s="6"/>
      <c r="P444" s="6"/>
      <c r="Q444" s="6"/>
    </row>
    <row r="445" spans="1:17" ht="12.75" customHeight="1" x14ac:dyDescent="0.3">
      <c r="A445" s="6"/>
      <c r="B445" s="19">
        <v>442</v>
      </c>
      <c r="C445" s="20" t="str">
        <f>NamaPelanggan!C444</f>
        <v>TAM-442</v>
      </c>
      <c r="D445" s="21" t="str">
        <f>NamaPelanggan!D444</f>
        <v>OMGAE</v>
      </c>
      <c r="E445" s="21" t="str">
        <f>NamaPelanggan!E444</f>
        <v>TAMANSARI</v>
      </c>
      <c r="F445" s="23">
        <f>NamaPelanggan!H444</f>
        <v>100000</v>
      </c>
      <c r="G445" s="24"/>
      <c r="H445" s="24"/>
      <c r="I445" s="24">
        <v>100000</v>
      </c>
      <c r="J445" s="24"/>
      <c r="K445" s="24"/>
      <c r="L445" s="19" t="str">
        <f t="shared" si="11"/>
        <v>LUNAS</v>
      </c>
      <c r="M445" s="24"/>
      <c r="N445" s="22"/>
      <c r="O445" s="6"/>
      <c r="P445" s="6"/>
      <c r="Q445" s="6"/>
    </row>
    <row r="446" spans="1:17" ht="12.75" customHeight="1" x14ac:dyDescent="0.3">
      <c r="A446" s="6"/>
      <c r="B446" s="19">
        <v>443</v>
      </c>
      <c r="C446" s="20" t="str">
        <f>NamaPelanggan!C445</f>
        <v>TAM-443</v>
      </c>
      <c r="D446" s="21" t="str">
        <f>NamaPelanggan!D445</f>
        <v>OSEN@SIH</v>
      </c>
      <c r="E446" s="21" t="str">
        <f>NamaPelanggan!E445</f>
        <v>TAMANSARI</v>
      </c>
      <c r="F446" s="23">
        <f>NamaPelanggan!H445</f>
        <v>100000</v>
      </c>
      <c r="G446" s="24"/>
      <c r="H446" s="24"/>
      <c r="I446" s="24">
        <v>100000</v>
      </c>
      <c r="J446" s="24"/>
      <c r="K446" s="24"/>
      <c r="L446" s="19" t="str">
        <f t="shared" si="11"/>
        <v>LUNAS</v>
      </c>
      <c r="M446" s="24"/>
      <c r="N446" s="22"/>
      <c r="O446" s="6"/>
      <c r="P446" s="6"/>
      <c r="Q446" s="6"/>
    </row>
    <row r="447" spans="1:17" ht="12.75" customHeight="1" x14ac:dyDescent="0.3">
      <c r="A447" s="6"/>
      <c r="B447" s="19">
        <v>444</v>
      </c>
      <c r="C447" s="20" t="str">
        <f>NamaPelanggan!C446</f>
        <v>TAM-444</v>
      </c>
      <c r="D447" s="21" t="str">
        <f>NamaPelanggan!D446</f>
        <v>RIBUT</v>
      </c>
      <c r="E447" s="21" t="str">
        <f>NamaPelanggan!E446</f>
        <v>TAMANSARI</v>
      </c>
      <c r="F447" s="23">
        <f>NamaPelanggan!H446</f>
        <v>100000</v>
      </c>
      <c r="G447" s="24"/>
      <c r="H447" s="24"/>
      <c r="I447" s="24">
        <v>100000</v>
      </c>
      <c r="J447" s="24"/>
      <c r="K447" s="24"/>
      <c r="L447" s="19" t="str">
        <f t="shared" si="11"/>
        <v>LUNAS</v>
      </c>
      <c r="M447" s="24"/>
      <c r="N447" s="22"/>
      <c r="O447" s="6"/>
      <c r="P447" s="6"/>
      <c r="Q447" s="6"/>
    </row>
    <row r="448" spans="1:17" ht="12.75" customHeight="1" x14ac:dyDescent="0.3">
      <c r="A448" s="6"/>
      <c r="B448" s="19">
        <v>445</v>
      </c>
      <c r="C448" s="20" t="str">
        <f>NamaPelanggan!C447</f>
        <v>TAM-445</v>
      </c>
      <c r="D448" s="21" t="str">
        <f>NamaPelanggan!D447</f>
        <v>RIMA</v>
      </c>
      <c r="E448" s="21" t="str">
        <f>NamaPelanggan!E447</f>
        <v>TAMANSARI</v>
      </c>
      <c r="F448" s="23">
        <f>NamaPelanggan!H447</f>
        <v>100000</v>
      </c>
      <c r="G448" s="24"/>
      <c r="H448" s="24"/>
      <c r="I448" s="24">
        <v>100000</v>
      </c>
      <c r="J448" s="24"/>
      <c r="K448" s="24"/>
      <c r="L448" s="19" t="str">
        <f t="shared" si="11"/>
        <v>LUNAS</v>
      </c>
      <c r="M448" s="24"/>
      <c r="N448" s="22"/>
      <c r="O448" s="6"/>
      <c r="P448" s="6"/>
      <c r="Q448" s="6"/>
    </row>
    <row r="449" spans="1:17" ht="12.75" customHeight="1" x14ac:dyDescent="0.3">
      <c r="A449" s="6"/>
      <c r="B449" s="19">
        <v>446</v>
      </c>
      <c r="C449" s="20" t="str">
        <f>NamaPelanggan!C448</f>
        <v>TAM-446</v>
      </c>
      <c r="D449" s="21" t="str">
        <f>NamaPelanggan!D448</f>
        <v>ROSI@JEPANG</v>
      </c>
      <c r="E449" s="21" t="str">
        <f>NamaPelanggan!E448</f>
        <v>TAMANSARI</v>
      </c>
      <c r="F449" s="23">
        <f>NamaPelanggan!H448</f>
        <v>100000</v>
      </c>
      <c r="G449" s="24"/>
      <c r="H449" s="24"/>
      <c r="I449" s="24">
        <v>100000</v>
      </c>
      <c r="J449" s="24"/>
      <c r="K449" s="24"/>
      <c r="L449" s="19" t="str">
        <f t="shared" si="11"/>
        <v>LUNAS</v>
      </c>
      <c r="M449" s="24"/>
      <c r="N449" s="22"/>
      <c r="O449" s="6"/>
      <c r="P449" s="6"/>
      <c r="Q449" s="6"/>
    </row>
    <row r="450" spans="1:17" ht="12.75" customHeight="1" x14ac:dyDescent="0.3">
      <c r="A450" s="6"/>
      <c r="B450" s="19">
        <v>447</v>
      </c>
      <c r="C450" s="20" t="str">
        <f>NamaPelanggan!C449</f>
        <v>TAM-447</v>
      </c>
      <c r="D450" s="21" t="str">
        <f>NamaPelanggan!D449</f>
        <v>SILA</v>
      </c>
      <c r="E450" s="21" t="str">
        <f>NamaPelanggan!E449</f>
        <v>TAMANSARI</v>
      </c>
      <c r="F450" s="23">
        <f>NamaPelanggan!H449</f>
        <v>100000</v>
      </c>
      <c r="G450" s="24"/>
      <c r="H450" s="24"/>
      <c r="I450" s="24">
        <v>200000</v>
      </c>
      <c r="J450" s="24"/>
      <c r="K450" s="24"/>
      <c r="L450" s="19" t="str">
        <f t="shared" si="11"/>
        <v>LUNAS</v>
      </c>
      <c r="M450" s="24"/>
      <c r="N450" s="22"/>
      <c r="O450" s="6"/>
      <c r="P450" s="6"/>
      <c r="Q450" s="6"/>
    </row>
    <row r="451" spans="1:17" ht="12.75" customHeight="1" x14ac:dyDescent="0.3">
      <c r="A451" s="6"/>
      <c r="B451" s="19">
        <v>448</v>
      </c>
      <c r="C451" s="20" t="str">
        <f>NamaPelanggan!C450</f>
        <v>TAM-448</v>
      </c>
      <c r="D451" s="21" t="str">
        <f>NamaPelanggan!D450</f>
        <v>SUGENG</v>
      </c>
      <c r="E451" s="21" t="str">
        <f>NamaPelanggan!E450</f>
        <v>TAMANSARI</v>
      </c>
      <c r="F451" s="23">
        <f>NamaPelanggan!H450</f>
        <v>100000</v>
      </c>
      <c r="G451" s="24"/>
      <c r="H451" s="24"/>
      <c r="I451" s="24">
        <v>100000</v>
      </c>
      <c r="J451" s="24"/>
      <c r="K451" s="24"/>
      <c r="L451" s="19" t="str">
        <f t="shared" si="11"/>
        <v>LUNAS</v>
      </c>
      <c r="M451" s="24"/>
      <c r="N451" s="22"/>
      <c r="O451" s="6"/>
      <c r="P451" s="6"/>
      <c r="Q451" s="6"/>
    </row>
    <row r="452" spans="1:17" ht="12.75" customHeight="1" x14ac:dyDescent="0.3">
      <c r="A452" s="6"/>
      <c r="B452" s="19">
        <v>449</v>
      </c>
      <c r="C452" s="20" t="str">
        <f>NamaPelanggan!C451</f>
        <v>TAM-449</v>
      </c>
      <c r="D452" s="21" t="str">
        <f>NamaPelanggan!D451</f>
        <v>SUGENG@LEBAK</v>
      </c>
      <c r="E452" s="21" t="str">
        <f>NamaPelanggan!E451</f>
        <v>TAMANSARI</v>
      </c>
      <c r="F452" s="23">
        <f>NamaPelanggan!H451</f>
        <v>100000</v>
      </c>
      <c r="G452" s="24"/>
      <c r="H452" s="24"/>
      <c r="I452" s="24">
        <v>100000</v>
      </c>
      <c r="J452" s="24"/>
      <c r="K452" s="24"/>
      <c r="L452" s="19" t="str">
        <f t="shared" si="11"/>
        <v>LUNAS</v>
      </c>
      <c r="M452" s="24"/>
      <c r="N452" s="22"/>
      <c r="O452" s="6"/>
      <c r="P452" s="6"/>
      <c r="Q452" s="6"/>
    </row>
    <row r="453" spans="1:17" ht="12.75" customHeight="1" x14ac:dyDescent="0.3">
      <c r="A453" s="6"/>
      <c r="B453" s="19">
        <v>450</v>
      </c>
      <c r="C453" s="20" t="str">
        <f>NamaPelanggan!C452</f>
        <v>TAM-450</v>
      </c>
      <c r="D453" s="21" t="str">
        <f>NamaPelanggan!D452</f>
        <v>SUKARNI</v>
      </c>
      <c r="E453" s="21" t="str">
        <f>NamaPelanggan!E452</f>
        <v>TAMANSARI</v>
      </c>
      <c r="F453" s="23">
        <f>NamaPelanggan!H452</f>
        <v>100000</v>
      </c>
      <c r="G453" s="24"/>
      <c r="H453" s="24"/>
      <c r="I453" s="24">
        <v>100000</v>
      </c>
      <c r="J453" s="24"/>
      <c r="K453" s="24"/>
      <c r="L453" s="19" t="str">
        <f t="shared" si="11"/>
        <v>LUNAS</v>
      </c>
      <c r="M453" s="24"/>
      <c r="N453" s="22"/>
      <c r="O453" s="6"/>
      <c r="P453" s="6"/>
      <c r="Q453" s="6"/>
    </row>
    <row r="454" spans="1:17" ht="12.75" customHeight="1" x14ac:dyDescent="0.3">
      <c r="A454" s="6"/>
      <c r="B454" s="19">
        <v>451</v>
      </c>
      <c r="C454" s="20" t="str">
        <f>NamaPelanggan!C453</f>
        <v>TAM-451</v>
      </c>
      <c r="D454" s="21" t="str">
        <f>NamaPelanggan!D453</f>
        <v>SUNDAR@RONI</v>
      </c>
      <c r="E454" s="21" t="str">
        <f>NamaPelanggan!E453</f>
        <v>TAMANSARI</v>
      </c>
      <c r="F454" s="23">
        <f>NamaPelanggan!H453</f>
        <v>100000</v>
      </c>
      <c r="G454" s="24"/>
      <c r="H454" s="24"/>
      <c r="I454" s="24">
        <v>100000</v>
      </c>
      <c r="J454" s="24"/>
      <c r="K454" s="24"/>
      <c r="L454" s="19" t="str">
        <f t="shared" si="11"/>
        <v>LUNAS</v>
      </c>
      <c r="M454" s="24"/>
      <c r="N454" s="22"/>
      <c r="O454" s="6"/>
      <c r="P454" s="6"/>
      <c r="Q454" s="6"/>
    </row>
    <row r="455" spans="1:17" ht="12.75" customHeight="1" x14ac:dyDescent="0.3">
      <c r="A455" s="6"/>
      <c r="B455" s="19">
        <v>452</v>
      </c>
      <c r="C455" s="20" t="str">
        <f>NamaPelanggan!C454</f>
        <v>TAM-452</v>
      </c>
      <c r="D455" s="21" t="str">
        <f>NamaPelanggan!D454</f>
        <v>SUS@RAHMA</v>
      </c>
      <c r="E455" s="21" t="str">
        <f>NamaPelanggan!E454</f>
        <v>TAMANSARI</v>
      </c>
      <c r="F455" s="23">
        <f>NamaPelanggan!H454</f>
        <v>100000</v>
      </c>
      <c r="G455" s="24"/>
      <c r="H455" s="24"/>
      <c r="I455" s="24">
        <v>100000</v>
      </c>
      <c r="J455" s="24"/>
      <c r="K455" s="24"/>
      <c r="L455" s="19" t="str">
        <f t="shared" si="11"/>
        <v>LUNAS</v>
      </c>
      <c r="M455" s="24"/>
      <c r="N455" s="22"/>
      <c r="O455" s="6"/>
      <c r="P455" s="6"/>
      <c r="Q455" s="6"/>
    </row>
    <row r="456" spans="1:17" ht="12.75" customHeight="1" x14ac:dyDescent="0.3">
      <c r="A456" s="6"/>
      <c r="B456" s="19">
        <v>453</v>
      </c>
      <c r="C456" s="20" t="str">
        <f>NamaPelanggan!C455</f>
        <v>TAM-453</v>
      </c>
      <c r="D456" s="21" t="str">
        <f>NamaPelanggan!D455</f>
        <v>TERMINAL@SUNARIAH</v>
      </c>
      <c r="E456" s="21" t="str">
        <f>NamaPelanggan!E455</f>
        <v>TAMANSARI</v>
      </c>
      <c r="F456" s="23">
        <f>NamaPelanggan!H455</f>
        <v>100000</v>
      </c>
      <c r="G456" s="24"/>
      <c r="H456" s="24"/>
      <c r="I456" s="24">
        <v>100000</v>
      </c>
      <c r="J456" s="24"/>
      <c r="K456" s="24"/>
      <c r="L456" s="19" t="str">
        <f t="shared" si="11"/>
        <v>LUNAS</v>
      </c>
      <c r="M456" s="24"/>
      <c r="N456" s="22"/>
      <c r="O456" s="6"/>
      <c r="P456" s="6"/>
      <c r="Q456" s="6"/>
    </row>
    <row r="457" spans="1:17" ht="12.75" customHeight="1" x14ac:dyDescent="0.3">
      <c r="A457" s="6"/>
      <c r="B457" s="19">
        <v>454</v>
      </c>
      <c r="C457" s="20" t="str">
        <f>NamaPelanggan!C456</f>
        <v>TAM-454</v>
      </c>
      <c r="D457" s="21" t="str">
        <f>NamaPelanggan!D456</f>
        <v>TING@HASAN</v>
      </c>
      <c r="E457" s="21" t="str">
        <f>NamaPelanggan!E456</f>
        <v>TAMANSARI</v>
      </c>
      <c r="F457" s="23">
        <f>NamaPelanggan!H456</f>
        <v>100000</v>
      </c>
      <c r="G457" s="24"/>
      <c r="H457" s="24"/>
      <c r="I457" s="24">
        <v>100000</v>
      </c>
      <c r="J457" s="24"/>
      <c r="K457" s="24"/>
      <c r="L457" s="19" t="str">
        <f t="shared" si="11"/>
        <v>LUNAS</v>
      </c>
      <c r="M457" s="24"/>
      <c r="N457" s="22"/>
      <c r="O457" s="6"/>
      <c r="P457" s="6"/>
      <c r="Q457" s="6"/>
    </row>
    <row r="458" spans="1:17" ht="12.75" customHeight="1" x14ac:dyDescent="0.3">
      <c r="A458" s="6"/>
      <c r="B458" s="19">
        <v>455</v>
      </c>
      <c r="C458" s="20" t="str">
        <f>NamaPelanggan!C457</f>
        <v>PAL-455</v>
      </c>
      <c r="D458" s="21" t="str">
        <f>NamaPelanggan!D457</f>
        <v>TIYA@HASANAH</v>
      </c>
      <c r="E458" s="21" t="str">
        <f>NamaPelanggan!E457</f>
        <v>PALAPA</v>
      </c>
      <c r="F458" s="23">
        <f>NamaPelanggan!H457</f>
        <v>100000</v>
      </c>
      <c r="G458" s="24"/>
      <c r="H458" s="24"/>
      <c r="I458" s="24">
        <v>100000</v>
      </c>
      <c r="J458" s="24"/>
      <c r="K458" s="24"/>
      <c r="L458" s="19" t="str">
        <f t="shared" si="11"/>
        <v>LUNAS</v>
      </c>
      <c r="M458" s="24"/>
      <c r="N458" s="22"/>
      <c r="O458" s="6"/>
      <c r="P458" s="6"/>
      <c r="Q458" s="6"/>
    </row>
    <row r="459" spans="1:17" ht="12.75" customHeight="1" x14ac:dyDescent="0.3">
      <c r="A459" s="6"/>
      <c r="B459" s="19">
        <v>456</v>
      </c>
      <c r="C459" s="20" t="str">
        <f>NamaPelanggan!C458</f>
        <v>TAM-456</v>
      </c>
      <c r="D459" s="21" t="str">
        <f>NamaPelanggan!D458</f>
        <v>TOKO BANGUNAN</v>
      </c>
      <c r="E459" s="21" t="str">
        <f>NamaPelanggan!E458</f>
        <v>TAMANSARI</v>
      </c>
      <c r="F459" s="23">
        <f>NamaPelanggan!H458</f>
        <v>100000</v>
      </c>
      <c r="G459" s="24"/>
      <c r="H459" s="24"/>
      <c r="I459" s="24">
        <v>100000</v>
      </c>
      <c r="J459" s="24"/>
      <c r="K459" s="24"/>
      <c r="L459" s="19" t="s">
        <v>550</v>
      </c>
      <c r="M459" s="24"/>
      <c r="N459" s="22"/>
      <c r="O459" s="6"/>
      <c r="P459" s="6"/>
      <c r="Q459" s="6"/>
    </row>
    <row r="460" spans="1:17" ht="12.75" customHeight="1" x14ac:dyDescent="0.3">
      <c r="A460" s="6"/>
      <c r="B460" s="19">
        <v>457</v>
      </c>
      <c r="C460" s="20" t="str">
        <f>NamaPelanggan!C459</f>
        <v>TAM-457</v>
      </c>
      <c r="D460" s="21" t="str">
        <f>NamaPelanggan!D459</f>
        <v>TOPAN</v>
      </c>
      <c r="E460" s="21" t="str">
        <f>NamaPelanggan!E459</f>
        <v>TAMANSARI</v>
      </c>
      <c r="F460" s="23">
        <f>NamaPelanggan!H459</f>
        <v>100000</v>
      </c>
      <c r="G460" s="24"/>
      <c r="H460" s="24"/>
      <c r="I460" s="24">
        <v>100000</v>
      </c>
      <c r="J460" s="24"/>
      <c r="K460" s="24"/>
      <c r="L460" s="19" t="s">
        <v>548</v>
      </c>
      <c r="M460" s="24">
        <v>100000</v>
      </c>
      <c r="N460" s="22" t="s">
        <v>574</v>
      </c>
      <c r="O460" s="6"/>
      <c r="P460" s="6"/>
      <c r="Q460" s="6"/>
    </row>
    <row r="461" spans="1:17" ht="12.75" customHeight="1" x14ac:dyDescent="0.3">
      <c r="A461" s="6"/>
      <c r="B461" s="19">
        <v>458</v>
      </c>
      <c r="C461" s="20" t="str">
        <f>NamaPelanggan!C460</f>
        <v>TAM-458</v>
      </c>
      <c r="D461" s="21" t="str">
        <f>NamaPelanggan!D460</f>
        <v>TUTIK@SILVI</v>
      </c>
      <c r="E461" s="21" t="str">
        <f>NamaPelanggan!E460</f>
        <v>TAMANSARI</v>
      </c>
      <c r="F461" s="23">
        <f>NamaPelanggan!H460</f>
        <v>100000</v>
      </c>
      <c r="G461" s="24"/>
      <c r="H461" s="24"/>
      <c r="I461" s="24">
        <v>100000</v>
      </c>
      <c r="J461" s="24"/>
      <c r="K461" s="24"/>
      <c r="L461" s="19" t="str">
        <f t="shared" si="11"/>
        <v>LUNAS</v>
      </c>
      <c r="M461" s="24"/>
      <c r="N461" s="22"/>
      <c r="O461" s="6"/>
      <c r="P461" s="6"/>
      <c r="Q461" s="6"/>
    </row>
    <row r="462" spans="1:17" ht="12.75" customHeight="1" x14ac:dyDescent="0.3">
      <c r="A462" s="6"/>
      <c r="B462" s="19">
        <v>459</v>
      </c>
      <c r="C462" s="20" t="str">
        <f>NamaPelanggan!C461</f>
        <v>TAM-459</v>
      </c>
      <c r="D462" s="21" t="str">
        <f>NamaPelanggan!D461</f>
        <v>UDIN@GURU</v>
      </c>
      <c r="E462" s="21" t="str">
        <f>NamaPelanggan!E461</f>
        <v>TAMANSARI</v>
      </c>
      <c r="F462" s="23">
        <f>NamaPelanggan!H461</f>
        <v>100000</v>
      </c>
      <c r="G462" s="24"/>
      <c r="H462" s="24"/>
      <c r="I462" s="24">
        <v>100000</v>
      </c>
      <c r="J462" s="24"/>
      <c r="K462" s="24"/>
      <c r="L462" s="19" t="str">
        <f t="shared" si="11"/>
        <v>LUNAS</v>
      </c>
      <c r="M462" s="24"/>
      <c r="N462" s="22"/>
      <c r="O462" s="6"/>
      <c r="P462" s="6"/>
      <c r="Q462" s="6"/>
    </row>
    <row r="463" spans="1:17" ht="12.75" customHeight="1" x14ac:dyDescent="0.3">
      <c r="A463" s="6"/>
      <c r="B463" s="19">
        <v>460</v>
      </c>
      <c r="C463" s="20" t="str">
        <f>NamaPelanggan!C462</f>
        <v>TAM-460</v>
      </c>
      <c r="D463" s="21" t="str">
        <f>NamaPelanggan!D462</f>
        <v>WIWIK</v>
      </c>
      <c r="E463" s="21" t="str">
        <f>NamaPelanggan!E462</f>
        <v>TAMANSARI</v>
      </c>
      <c r="F463" s="23">
        <f>NamaPelanggan!H462</f>
        <v>100000</v>
      </c>
      <c r="G463" s="24"/>
      <c r="H463" s="24"/>
      <c r="I463" s="24">
        <v>100000</v>
      </c>
      <c r="J463" s="24"/>
      <c r="K463" s="24"/>
      <c r="L463" s="19" t="str">
        <f t="shared" si="11"/>
        <v>LUNAS</v>
      </c>
      <c r="M463" s="24"/>
      <c r="N463" s="22"/>
      <c r="O463" s="6"/>
      <c r="P463" s="6"/>
      <c r="Q463" s="6"/>
    </row>
    <row r="464" spans="1:17" ht="12.75" customHeight="1" x14ac:dyDescent="0.3">
      <c r="A464" s="6"/>
      <c r="B464" s="19">
        <v>461</v>
      </c>
      <c r="C464" s="20" t="str">
        <f>NamaPelanggan!C463</f>
        <v>TAM-461</v>
      </c>
      <c r="D464" s="21" t="str">
        <f>NamaPelanggan!D463</f>
        <v>YUDI ( tuki )</v>
      </c>
      <c r="E464" s="21" t="str">
        <f>NamaPelanggan!E463</f>
        <v>TAMANSARI</v>
      </c>
      <c r="F464" s="23">
        <f>NamaPelanggan!H463</f>
        <v>100000</v>
      </c>
      <c r="G464" s="24"/>
      <c r="H464" s="24"/>
      <c r="I464" s="24">
        <v>100000</v>
      </c>
      <c r="J464" s="24"/>
      <c r="K464" s="24"/>
      <c r="L464" s="19" t="str">
        <f t="shared" si="11"/>
        <v>LUNAS</v>
      </c>
      <c r="M464" s="24"/>
      <c r="N464" s="22"/>
      <c r="O464" s="6"/>
      <c r="P464" s="6"/>
      <c r="Q464" s="6"/>
    </row>
    <row r="465" spans="1:17" ht="12.75" customHeight="1" x14ac:dyDescent="0.3">
      <c r="A465" s="6"/>
      <c r="B465" s="19">
        <v>462</v>
      </c>
      <c r="C465" s="20" t="str">
        <f>NamaPelanggan!C464</f>
        <v>TAM-462</v>
      </c>
      <c r="D465" s="21" t="str">
        <f>NamaPelanggan!D464</f>
        <v>YUDI@WENI</v>
      </c>
      <c r="E465" s="21" t="str">
        <f>NamaPelanggan!E464</f>
        <v>TAMANSARI</v>
      </c>
      <c r="F465" s="23">
        <f>NamaPelanggan!H464</f>
        <v>100000</v>
      </c>
      <c r="G465" s="24"/>
      <c r="H465" s="24"/>
      <c r="I465" s="24">
        <v>100000</v>
      </c>
      <c r="J465" s="24"/>
      <c r="K465" s="24"/>
      <c r="L465" s="19" t="str">
        <f t="shared" si="11"/>
        <v>LUNAS</v>
      </c>
      <c r="M465" s="24"/>
      <c r="N465" s="22"/>
      <c r="O465" s="6"/>
      <c r="P465" s="6"/>
      <c r="Q465" s="6"/>
    </row>
    <row r="466" spans="1:17" ht="12.75" customHeight="1" x14ac:dyDescent="0.3">
      <c r="A466" s="6"/>
      <c r="B466" s="19">
        <v>463</v>
      </c>
      <c r="C466" s="20" t="str">
        <f>NamaPelanggan!C465</f>
        <v>TAM-463</v>
      </c>
      <c r="D466" s="21" t="str">
        <f>NamaPelanggan!D465</f>
        <v>YUDIALFI</v>
      </c>
      <c r="E466" s="21" t="str">
        <f>NamaPelanggan!E465</f>
        <v>TAMANSARI</v>
      </c>
      <c r="F466" s="23">
        <f>NamaPelanggan!H465</f>
        <v>100000</v>
      </c>
      <c r="G466" s="24"/>
      <c r="H466" s="24"/>
      <c r="I466" s="24">
        <v>100000</v>
      </c>
      <c r="J466" s="24"/>
      <c r="K466" s="24"/>
      <c r="L466" s="19" t="str">
        <f t="shared" si="11"/>
        <v>LUNAS</v>
      </c>
      <c r="M466" s="24"/>
      <c r="N466" s="22"/>
      <c r="O466" s="6"/>
      <c r="P466" s="6"/>
      <c r="Q466" s="6"/>
    </row>
    <row r="467" spans="1:17" ht="12.75" customHeight="1" x14ac:dyDescent="0.3">
      <c r="A467" s="6"/>
      <c r="B467" s="19">
        <v>464</v>
      </c>
      <c r="C467" s="20" t="str">
        <f>NamaPelanggan!C466</f>
        <v>TAM-464</v>
      </c>
      <c r="D467" s="21" t="str">
        <f>NamaPelanggan!D466</f>
        <v>YULI</v>
      </c>
      <c r="E467" s="21" t="str">
        <f>NamaPelanggan!E466</f>
        <v>TAMANSARI</v>
      </c>
      <c r="F467" s="23">
        <f>NamaPelanggan!H466</f>
        <v>100000</v>
      </c>
      <c r="G467" s="24"/>
      <c r="H467" s="24"/>
      <c r="I467" s="24">
        <v>100000</v>
      </c>
      <c r="J467" s="24"/>
      <c r="K467" s="24"/>
      <c r="L467" s="19" t="str">
        <f t="shared" ref="L467:L503" si="12">IF(SUM(G467:K467)&gt;0,"LUNAS","BELUM LUNAS")</f>
        <v>LUNAS</v>
      </c>
      <c r="M467" s="24"/>
      <c r="N467" s="22"/>
      <c r="O467" s="6"/>
      <c r="P467" s="6"/>
      <c r="Q467" s="6"/>
    </row>
    <row r="468" spans="1:17" ht="12.75" customHeight="1" x14ac:dyDescent="0.3">
      <c r="A468" s="6"/>
      <c r="B468" s="19">
        <v>465</v>
      </c>
      <c r="C468" s="20" t="str">
        <f>NamaPelanggan!C467</f>
        <v>TAM-465</v>
      </c>
      <c r="D468" s="21" t="str">
        <f>NamaPelanggan!D467</f>
        <v>alfi</v>
      </c>
      <c r="E468" s="21" t="str">
        <f>NamaPelanggan!E467</f>
        <v>TAMANSARI</v>
      </c>
      <c r="F468" s="23">
        <f>NamaPelanggan!H467</f>
        <v>100000</v>
      </c>
      <c r="G468" s="24"/>
      <c r="H468" s="24"/>
      <c r="I468" s="24">
        <v>100000</v>
      </c>
      <c r="J468" s="24"/>
      <c r="K468" s="24"/>
      <c r="L468" s="19" t="str">
        <f t="shared" si="12"/>
        <v>LUNAS</v>
      </c>
      <c r="M468" s="24"/>
      <c r="N468" s="22"/>
      <c r="O468" s="6"/>
      <c r="P468" s="6"/>
      <c r="Q468" s="6"/>
    </row>
    <row r="469" spans="1:17" ht="12.75" customHeight="1" x14ac:dyDescent="0.3">
      <c r="A469" s="6"/>
      <c r="B469" s="19">
        <v>466</v>
      </c>
      <c r="C469" s="20" t="str">
        <f>NamaPelanggan!C468</f>
        <v>TAM-466</v>
      </c>
      <c r="D469" s="21" t="str">
        <f>NamaPelanggan!D468</f>
        <v>ipulkendang</v>
      </c>
      <c r="E469" s="21" t="str">
        <f>NamaPelanggan!E468</f>
        <v>TAMANSARI</v>
      </c>
      <c r="F469" s="23">
        <f>NamaPelanggan!H468</f>
        <v>100000</v>
      </c>
      <c r="G469" s="24"/>
      <c r="H469" s="24"/>
      <c r="I469" s="24">
        <v>100000</v>
      </c>
      <c r="J469" s="24"/>
      <c r="K469" s="24"/>
      <c r="L469" s="19" t="str">
        <f t="shared" si="12"/>
        <v>LUNAS</v>
      </c>
      <c r="M469" s="24"/>
      <c r="N469" s="22"/>
      <c r="O469" s="6"/>
      <c r="P469" s="6"/>
      <c r="Q469" s="6"/>
    </row>
    <row r="470" spans="1:17" ht="12.75" customHeight="1" x14ac:dyDescent="0.3">
      <c r="A470" s="6"/>
      <c r="B470" s="19">
        <v>467</v>
      </c>
      <c r="C470" s="20" t="str">
        <f>NamaPelanggan!C469</f>
        <v>TAM-467</v>
      </c>
      <c r="D470" s="21" t="str">
        <f>NamaPelanggan!D469</f>
        <v>karomah</v>
      </c>
      <c r="E470" s="21" t="str">
        <f>NamaPelanggan!E469</f>
        <v>TAMANSARI</v>
      </c>
      <c r="F470" s="23">
        <f>NamaPelanggan!H469</f>
        <v>100000</v>
      </c>
      <c r="G470" s="24"/>
      <c r="H470" s="24"/>
      <c r="I470" s="24">
        <v>100000</v>
      </c>
      <c r="J470" s="24"/>
      <c r="K470" s="24"/>
      <c r="L470" s="19" t="str">
        <f t="shared" si="12"/>
        <v>LUNAS</v>
      </c>
      <c r="M470" s="24"/>
      <c r="N470" s="22"/>
      <c r="O470" s="6"/>
      <c r="P470" s="6"/>
      <c r="Q470" s="6"/>
    </row>
    <row r="471" spans="1:17" ht="12.75" customHeight="1" x14ac:dyDescent="0.3">
      <c r="A471" s="6"/>
      <c r="B471" s="19">
        <v>468</v>
      </c>
      <c r="C471" s="20" t="str">
        <f>NamaPelanggan!C470</f>
        <v>TAM-468</v>
      </c>
      <c r="D471" s="21" t="str">
        <f>NamaPelanggan!D470</f>
        <v>nurjanah</v>
      </c>
      <c r="E471" s="21" t="str">
        <f>NamaPelanggan!E470</f>
        <v>TAMANSARI</v>
      </c>
      <c r="F471" s="23">
        <f>NamaPelanggan!H470</f>
        <v>100000</v>
      </c>
      <c r="G471" s="24"/>
      <c r="H471" s="24"/>
      <c r="I471" s="24">
        <v>100000</v>
      </c>
      <c r="J471" s="24"/>
      <c r="K471" s="24"/>
      <c r="L471" s="19" t="str">
        <f t="shared" si="12"/>
        <v>LUNAS</v>
      </c>
      <c r="M471" s="24"/>
      <c r="N471" s="22"/>
      <c r="O471" s="6"/>
      <c r="P471" s="6"/>
      <c r="Q471" s="6"/>
    </row>
    <row r="472" spans="1:17" ht="12.75" customHeight="1" x14ac:dyDescent="0.3">
      <c r="A472" s="6"/>
      <c r="B472" s="19">
        <v>469</v>
      </c>
      <c r="C472" s="20" t="str">
        <f>NamaPelanggan!C471</f>
        <v>TAM-469</v>
      </c>
      <c r="D472" s="21" t="str">
        <f>NamaPelanggan!D471</f>
        <v>rosida</v>
      </c>
      <c r="E472" s="21" t="str">
        <f>NamaPelanggan!E471</f>
        <v>TAMANSARI</v>
      </c>
      <c r="F472" s="23">
        <f>NamaPelanggan!H471</f>
        <v>100000</v>
      </c>
      <c r="G472" s="24"/>
      <c r="H472" s="24"/>
      <c r="I472" s="24">
        <v>100000</v>
      </c>
      <c r="J472" s="24"/>
      <c r="K472" s="24"/>
      <c r="L472" s="19" t="str">
        <f t="shared" si="12"/>
        <v>LUNAS</v>
      </c>
      <c r="M472" s="24"/>
      <c r="N472" s="22"/>
      <c r="O472" s="6"/>
      <c r="P472" s="6"/>
      <c r="Q472" s="6"/>
    </row>
    <row r="473" spans="1:17" ht="12.75" customHeight="1" x14ac:dyDescent="0.3">
      <c r="A473" s="6"/>
      <c r="B473" s="19">
        <v>470</v>
      </c>
      <c r="C473" s="20" t="str">
        <f>NamaPelanggan!C472</f>
        <v>TAM-470</v>
      </c>
      <c r="D473" s="21" t="str">
        <f>NamaPelanggan!D472</f>
        <v>suhairi</v>
      </c>
      <c r="E473" s="21" t="str">
        <f>NamaPelanggan!E472</f>
        <v>TAMANSARI</v>
      </c>
      <c r="F473" s="23">
        <f>NamaPelanggan!H472</f>
        <v>100000</v>
      </c>
      <c r="G473" s="24"/>
      <c r="H473" s="24"/>
      <c r="I473" s="24">
        <v>100000</v>
      </c>
      <c r="J473" s="24"/>
      <c r="K473" s="24"/>
      <c r="L473" s="19" t="str">
        <f t="shared" si="12"/>
        <v>LUNAS</v>
      </c>
      <c r="M473" s="24"/>
      <c r="N473" s="22"/>
      <c r="O473" s="6"/>
      <c r="P473" s="6"/>
      <c r="Q473" s="6"/>
    </row>
    <row r="474" spans="1:17" ht="12.75" customHeight="1" x14ac:dyDescent="0.3">
      <c r="A474" s="6"/>
      <c r="B474" s="19">
        <v>471</v>
      </c>
      <c r="C474" s="20" t="str">
        <f>NamaPelanggan!C473</f>
        <v>TAM-471</v>
      </c>
      <c r="D474" s="21" t="str">
        <f>NamaPelanggan!D473</f>
        <v>fitri</v>
      </c>
      <c r="E474" s="21" t="str">
        <f>NamaPelanggan!E473</f>
        <v>TAMANSARI</v>
      </c>
      <c r="F474" s="23">
        <f>NamaPelanggan!H473</f>
        <v>100000</v>
      </c>
      <c r="G474" s="24"/>
      <c r="H474" s="24"/>
      <c r="I474" s="24">
        <v>100000</v>
      </c>
      <c r="J474" s="24"/>
      <c r="K474" s="24"/>
      <c r="L474" s="19" t="str">
        <f t="shared" si="12"/>
        <v>LUNAS</v>
      </c>
      <c r="M474" s="24"/>
      <c r="N474" s="22"/>
      <c r="O474" s="6"/>
      <c r="P474" s="6"/>
      <c r="Q474" s="6"/>
    </row>
    <row r="475" spans="1:17" ht="12.75" customHeight="1" x14ac:dyDescent="0.3">
      <c r="A475" s="6"/>
      <c r="B475" s="19">
        <v>472</v>
      </c>
      <c r="C475" s="20" t="str">
        <f>NamaPelanggan!C474</f>
        <v>TAM-472</v>
      </c>
      <c r="D475" s="21" t="str">
        <f>NamaPelanggan!D474</f>
        <v>pandik.sasakarang.085790418068</v>
      </c>
      <c r="E475" s="21" t="str">
        <f>NamaPelanggan!E474</f>
        <v>TAMANSARI</v>
      </c>
      <c r="F475" s="23">
        <f>NamaPelanggan!H474</f>
        <v>100000</v>
      </c>
      <c r="G475" s="24"/>
      <c r="H475" s="24"/>
      <c r="I475" s="24">
        <v>100000</v>
      </c>
      <c r="J475" s="24"/>
      <c r="K475" s="24"/>
      <c r="L475" s="19" t="str">
        <f t="shared" si="12"/>
        <v>LUNAS</v>
      </c>
      <c r="M475" s="24"/>
      <c r="N475" s="22"/>
      <c r="O475" s="6"/>
      <c r="P475" s="6"/>
      <c r="Q475" s="6"/>
    </row>
    <row r="476" spans="1:17" ht="12.75" customHeight="1" x14ac:dyDescent="0.3">
      <c r="A476" s="6"/>
      <c r="B476" s="19">
        <v>473</v>
      </c>
      <c r="C476" s="20" t="str">
        <f>NamaPelanggan!C475</f>
        <v>TAM-473</v>
      </c>
      <c r="D476" s="21" t="str">
        <f>NamaPelanggan!D475</f>
        <v>mislan</v>
      </c>
      <c r="E476" s="21" t="str">
        <f>NamaPelanggan!E475</f>
        <v>TAMANSARI</v>
      </c>
      <c r="F476" s="23">
        <f>NamaPelanggan!H475</f>
        <v>100000</v>
      </c>
      <c r="G476" s="24"/>
      <c r="H476" s="24"/>
      <c r="I476" s="24">
        <v>100000</v>
      </c>
      <c r="J476" s="24"/>
      <c r="K476" s="24"/>
      <c r="L476" s="19" t="str">
        <f t="shared" si="12"/>
        <v>LUNAS</v>
      </c>
      <c r="M476" s="24"/>
      <c r="N476" s="22"/>
      <c r="O476" s="6"/>
      <c r="P476" s="6"/>
      <c r="Q476" s="6"/>
    </row>
    <row r="477" spans="1:17" ht="12.75" customHeight="1" x14ac:dyDescent="0.3">
      <c r="A477" s="6"/>
      <c r="B477" s="19">
        <v>474</v>
      </c>
      <c r="C477" s="20" t="str">
        <f>NamaPelanggan!C476</f>
        <v>TAM-474</v>
      </c>
      <c r="D477" s="21" t="str">
        <f>NamaPelanggan!D476</f>
        <v>konik</v>
      </c>
      <c r="E477" s="21" t="str">
        <f>NamaPelanggan!E476</f>
        <v>TAMANSARI</v>
      </c>
      <c r="F477" s="23">
        <f>NamaPelanggan!H476</f>
        <v>100000</v>
      </c>
      <c r="G477" s="24"/>
      <c r="H477" s="24"/>
      <c r="I477" s="24">
        <v>100000</v>
      </c>
      <c r="J477" s="24"/>
      <c r="K477" s="24"/>
      <c r="L477" s="19" t="str">
        <f t="shared" si="12"/>
        <v>LUNAS</v>
      </c>
      <c r="M477" s="24"/>
      <c r="N477" s="22"/>
      <c r="O477" s="6"/>
      <c r="P477" s="6"/>
      <c r="Q477" s="6"/>
    </row>
    <row r="478" spans="1:17" ht="12.75" customHeight="1" x14ac:dyDescent="0.3">
      <c r="A478" s="6"/>
      <c r="B478" s="19">
        <v>475</v>
      </c>
      <c r="C478" s="20" t="str">
        <f>NamaPelanggan!C477</f>
        <v>TAM-475</v>
      </c>
      <c r="D478" s="21" t="str">
        <f>NamaPelanggan!D477</f>
        <v>MISWANTO</v>
      </c>
      <c r="E478" s="21" t="str">
        <f>NamaPelanggan!E477</f>
        <v>TAMANSARI</v>
      </c>
      <c r="F478" s="23">
        <f>NamaPelanggan!H477</f>
        <v>100000</v>
      </c>
      <c r="G478" s="24"/>
      <c r="H478" s="24"/>
      <c r="I478" s="24">
        <v>200000</v>
      </c>
      <c r="J478" s="24"/>
      <c r="K478" s="24"/>
      <c r="L478" s="19" t="str">
        <f t="shared" si="12"/>
        <v>LUNAS</v>
      </c>
      <c r="M478" s="24"/>
      <c r="N478" s="22"/>
      <c r="O478" s="6"/>
      <c r="P478" s="6"/>
      <c r="Q478" s="6"/>
    </row>
    <row r="479" spans="1:17" ht="12.75" customHeight="1" x14ac:dyDescent="0.3">
      <c r="A479" s="6"/>
      <c r="B479" s="19">
        <v>476</v>
      </c>
      <c r="C479" s="20" t="str">
        <f>NamaPelanggan!C478</f>
        <v>TAM-476</v>
      </c>
      <c r="D479" s="21" t="str">
        <f>NamaPelanggan!D478</f>
        <v>NANANG</v>
      </c>
      <c r="E479" s="21" t="str">
        <f>NamaPelanggan!E478</f>
        <v>TAMANSARI</v>
      </c>
      <c r="F479" s="23">
        <f>NamaPelanggan!H478</f>
        <v>100000</v>
      </c>
      <c r="G479" s="24"/>
      <c r="H479" s="24"/>
      <c r="I479" s="24">
        <v>100000</v>
      </c>
      <c r="J479" s="24"/>
      <c r="K479" s="24"/>
      <c r="L479" s="19" t="str">
        <f t="shared" si="12"/>
        <v>LUNAS</v>
      </c>
      <c r="M479" s="24"/>
      <c r="N479" s="22"/>
      <c r="O479" s="6"/>
      <c r="P479" s="6"/>
      <c r="Q479" s="6"/>
    </row>
    <row r="480" spans="1:17" ht="12.75" customHeight="1" x14ac:dyDescent="0.3">
      <c r="A480" s="6"/>
      <c r="B480" s="19">
        <v>477</v>
      </c>
      <c r="C480" s="20" t="str">
        <f>NamaPelanggan!C479</f>
        <v>TAM-477</v>
      </c>
      <c r="D480" s="21" t="str">
        <f>NamaPelanggan!D479</f>
        <v>LINDA</v>
      </c>
      <c r="E480" s="21" t="str">
        <f>NamaPelanggan!E479</f>
        <v>TAMANSARI</v>
      </c>
      <c r="F480" s="23">
        <f>NamaPelanggan!H479</f>
        <v>100000</v>
      </c>
      <c r="G480" s="24"/>
      <c r="H480" s="24"/>
      <c r="I480" s="24">
        <v>100000</v>
      </c>
      <c r="J480" s="24"/>
      <c r="K480" s="24"/>
      <c r="L480" s="19" t="str">
        <f t="shared" si="12"/>
        <v>LUNAS</v>
      </c>
      <c r="M480" s="24"/>
      <c r="N480" s="22"/>
      <c r="O480" s="6"/>
      <c r="P480" s="6"/>
      <c r="Q480" s="6"/>
    </row>
    <row r="481" spans="1:17" ht="12.75" customHeight="1" x14ac:dyDescent="0.3">
      <c r="A481" s="6"/>
      <c r="B481" s="19">
        <v>478</v>
      </c>
      <c r="C481" s="20" t="str">
        <f>NamaPelanggan!C480</f>
        <v>TAM-478</v>
      </c>
      <c r="D481" s="21" t="str">
        <f>NamaPelanggan!D480</f>
        <v>LUTFI</v>
      </c>
      <c r="E481" s="21" t="str">
        <f>NamaPelanggan!E480</f>
        <v>TAMANSARI</v>
      </c>
      <c r="F481" s="23">
        <f>NamaPelanggan!H480</f>
        <v>100000</v>
      </c>
      <c r="G481" s="24"/>
      <c r="H481" s="24"/>
      <c r="I481" s="24">
        <v>100000</v>
      </c>
      <c r="J481" s="24"/>
      <c r="K481" s="24"/>
      <c r="L481" s="19" t="str">
        <f t="shared" si="12"/>
        <v>LUNAS</v>
      </c>
      <c r="M481" s="24"/>
      <c r="N481" s="22"/>
      <c r="O481" s="6"/>
      <c r="P481" s="6"/>
      <c r="Q481" s="6"/>
    </row>
    <row r="482" spans="1:17" ht="12.75" customHeight="1" x14ac:dyDescent="0.3">
      <c r="A482" s="6"/>
      <c r="B482" s="19">
        <v>479</v>
      </c>
      <c r="C482" s="20" t="str">
        <f>NamaPelanggan!C481</f>
        <v>TAM-479</v>
      </c>
      <c r="D482" s="21" t="str">
        <f>NamaPelanggan!D481</f>
        <v>SPP edi sr</v>
      </c>
      <c r="E482" s="21" t="str">
        <f>NamaPelanggan!E481</f>
        <v>TAMANSARI</v>
      </c>
      <c r="F482" s="23">
        <f>NamaPelanggan!H481</f>
        <v>100000</v>
      </c>
      <c r="G482" s="24"/>
      <c r="H482" s="24"/>
      <c r="I482" s="24">
        <v>100000</v>
      </c>
      <c r="J482" s="24"/>
      <c r="K482" s="24"/>
      <c r="L482" s="19" t="str">
        <f t="shared" si="12"/>
        <v>LUNAS</v>
      </c>
      <c r="M482" s="24"/>
      <c r="N482" s="22"/>
      <c r="O482" s="6"/>
      <c r="P482" s="6"/>
      <c r="Q482" s="6"/>
    </row>
    <row r="483" spans="1:17" ht="12.75" customHeight="1" x14ac:dyDescent="0.3">
      <c r="A483" s="6"/>
      <c r="B483" s="19">
        <v>480</v>
      </c>
      <c r="C483" s="20" t="str">
        <f>NamaPelanggan!C482</f>
        <v>TAM-480</v>
      </c>
      <c r="D483" s="21" t="str">
        <f>NamaPelanggan!D482</f>
        <v>hakim</v>
      </c>
      <c r="E483" s="21" t="str">
        <f>NamaPelanggan!E482</f>
        <v>TAMANSARI</v>
      </c>
      <c r="F483" s="23">
        <f>NamaPelanggan!H482</f>
        <v>100000</v>
      </c>
      <c r="G483" s="24"/>
      <c r="H483" s="24"/>
      <c r="I483" s="24">
        <v>100000</v>
      </c>
      <c r="J483" s="24"/>
      <c r="K483" s="24"/>
      <c r="L483" s="19" t="str">
        <f t="shared" si="12"/>
        <v>LUNAS</v>
      </c>
      <c r="M483" s="24"/>
      <c r="N483" s="22"/>
      <c r="O483" s="6"/>
      <c r="P483" s="6"/>
      <c r="Q483" s="6"/>
    </row>
    <row r="484" spans="1:17" ht="12.75" customHeight="1" x14ac:dyDescent="0.3">
      <c r="A484" s="6"/>
      <c r="B484" s="19">
        <v>481</v>
      </c>
      <c r="C484" s="20" t="str">
        <f>NamaPelanggan!C483</f>
        <v>TAM-481</v>
      </c>
      <c r="D484" s="21" t="str">
        <f>NamaPelanggan!D483</f>
        <v>DARDAK</v>
      </c>
      <c r="E484" s="21" t="str">
        <f>NamaPelanggan!E483</f>
        <v>TAMANSARI</v>
      </c>
      <c r="F484" s="23">
        <f>NamaPelanggan!H483</f>
        <v>50000</v>
      </c>
      <c r="G484" s="24"/>
      <c r="H484" s="24"/>
      <c r="I484" s="24">
        <v>50000</v>
      </c>
      <c r="J484" s="24"/>
      <c r="K484" s="24"/>
      <c r="L484" s="19" t="str">
        <f t="shared" si="12"/>
        <v>LUNAS</v>
      </c>
      <c r="M484" s="24"/>
      <c r="N484" s="22"/>
      <c r="O484" s="6"/>
      <c r="P484" s="6"/>
      <c r="Q484" s="6"/>
    </row>
    <row r="485" spans="1:17" ht="12.65" customHeight="1" x14ac:dyDescent="0.3">
      <c r="A485" s="6"/>
      <c r="B485" s="19">
        <v>482</v>
      </c>
      <c r="C485" s="20" t="str">
        <f>NamaPelanggan!C484</f>
        <v>TAM-482</v>
      </c>
      <c r="D485" s="21" t="str">
        <f>NamaPelanggan!D484</f>
        <v>RIZKI@ROZI</v>
      </c>
      <c r="E485" s="21" t="str">
        <f>NamaPelanggan!E484</f>
        <v>TAMANSARI</v>
      </c>
      <c r="F485" s="23">
        <f>NamaPelanggan!H484</f>
        <v>50000</v>
      </c>
      <c r="G485" s="24"/>
      <c r="H485" s="24"/>
      <c r="I485" s="24">
        <v>50000</v>
      </c>
      <c r="J485" s="24"/>
      <c r="K485" s="24"/>
      <c r="L485" s="19" t="str">
        <f t="shared" si="12"/>
        <v>LUNAS</v>
      </c>
      <c r="M485" s="24"/>
      <c r="N485" s="22"/>
      <c r="O485" s="6"/>
      <c r="P485" s="6"/>
      <c r="Q485" s="6"/>
    </row>
    <row r="486" spans="1:17" ht="12.75" customHeight="1" x14ac:dyDescent="0.3">
      <c r="A486" s="6"/>
      <c r="B486" s="19">
        <v>483</v>
      </c>
      <c r="C486" s="20" t="str">
        <f>NamaPelanggan!C485</f>
        <v>TAM-483</v>
      </c>
      <c r="D486" s="21" t="str">
        <f>NamaPelanggan!D485</f>
        <v>DIDIK@ADIT</v>
      </c>
      <c r="E486" s="21" t="str">
        <f>NamaPelanggan!E485</f>
        <v>TAMANSARI</v>
      </c>
      <c r="F486" s="23">
        <f>NamaPelanggan!H485</f>
        <v>150000</v>
      </c>
      <c r="G486" s="24"/>
      <c r="H486" s="24"/>
      <c r="I486" s="24"/>
      <c r="J486" s="24"/>
      <c r="K486" s="24"/>
      <c r="L486" s="19" t="str">
        <f t="shared" si="12"/>
        <v>BELUM LUNAS</v>
      </c>
      <c r="M486" s="24">
        <v>150000</v>
      </c>
      <c r="N486" s="22" t="s">
        <v>574</v>
      </c>
      <c r="O486" s="6"/>
      <c r="P486" s="6"/>
      <c r="Q486" s="6"/>
    </row>
    <row r="487" spans="1:17" ht="12.75" customHeight="1" x14ac:dyDescent="0.3">
      <c r="A487" s="6"/>
      <c r="B487" s="19">
        <v>484</v>
      </c>
      <c r="C487" s="20" t="str">
        <f>NamaPelanggan!C486</f>
        <v>TAM-484</v>
      </c>
      <c r="D487" s="21" t="str">
        <f>NamaPelanggan!D486</f>
        <v>FAIZ</v>
      </c>
      <c r="E487" s="21" t="str">
        <f>NamaPelanggan!E486</f>
        <v>TAMANSARI</v>
      </c>
      <c r="F487" s="23">
        <f>NamaPelanggan!H486</f>
        <v>100000</v>
      </c>
      <c r="G487" s="24"/>
      <c r="H487" s="24">
        <v>100000</v>
      </c>
      <c r="I487" s="24"/>
      <c r="J487" s="24"/>
      <c r="K487" s="24"/>
      <c r="L487" s="19" t="str">
        <f t="shared" si="12"/>
        <v>LUNAS</v>
      </c>
      <c r="M487" s="24"/>
      <c r="N487" s="22"/>
      <c r="O487" s="6"/>
      <c r="P487" s="6"/>
      <c r="Q487" s="6"/>
    </row>
    <row r="488" spans="1:17" ht="12.75" customHeight="1" x14ac:dyDescent="0.3">
      <c r="A488" s="6"/>
      <c r="B488" s="19">
        <v>485</v>
      </c>
      <c r="C488" s="20" t="str">
        <f>NamaPelanggan!C487</f>
        <v>TAM-485</v>
      </c>
      <c r="D488" s="21" t="str">
        <f>NamaPelanggan!D487</f>
        <v>LINDUNG@RADYA</v>
      </c>
      <c r="E488" s="21" t="str">
        <f>NamaPelanggan!E487</f>
        <v>TAMANSARI</v>
      </c>
      <c r="F488" s="23">
        <f>NamaPelanggan!H487</f>
        <v>100000</v>
      </c>
      <c r="G488" s="24"/>
      <c r="H488" s="24">
        <v>100000</v>
      </c>
      <c r="I488" s="24"/>
      <c r="J488" s="24"/>
      <c r="K488" s="24"/>
      <c r="L488" s="19" t="str">
        <f t="shared" si="12"/>
        <v>LUNAS</v>
      </c>
      <c r="M488" s="24"/>
      <c r="N488" s="22"/>
      <c r="O488" s="6"/>
      <c r="P488" s="6"/>
      <c r="Q488" s="6"/>
    </row>
    <row r="489" spans="1:17" ht="12.75" customHeight="1" x14ac:dyDescent="0.3">
      <c r="A489" s="6"/>
      <c r="B489" s="19">
        <v>486</v>
      </c>
      <c r="C489" s="20" t="str">
        <f>NamaPelanggan!C488</f>
        <v>TAM-486</v>
      </c>
      <c r="D489" s="21" t="str">
        <f>NamaPelanggan!D488</f>
        <v>KHOLIK</v>
      </c>
      <c r="E489" s="21" t="str">
        <f>NamaPelanggan!E488</f>
        <v>TAMANSARI</v>
      </c>
      <c r="F489" s="23">
        <f>NamaPelanggan!H488</f>
        <v>100000</v>
      </c>
      <c r="G489" s="24"/>
      <c r="H489" s="24">
        <v>100000</v>
      </c>
      <c r="I489" s="24"/>
      <c r="J489" s="24"/>
      <c r="K489" s="24"/>
      <c r="L489" s="19" t="str">
        <f t="shared" si="12"/>
        <v>LUNAS</v>
      </c>
      <c r="M489" s="24"/>
      <c r="N489" s="22"/>
      <c r="O489" s="6"/>
      <c r="P489" s="6"/>
      <c r="Q489" s="6"/>
    </row>
    <row r="490" spans="1:17" ht="12.75" customHeight="1" x14ac:dyDescent="0.3">
      <c r="A490" s="6"/>
      <c r="B490" s="19">
        <v>487</v>
      </c>
      <c r="C490" s="20" t="str">
        <f>NamaPelanggan!C489</f>
        <v>TAM-487</v>
      </c>
      <c r="D490" s="21" t="str">
        <f>NamaPelanggan!D489</f>
        <v>YAH@LIA / vino</v>
      </c>
      <c r="E490" s="21" t="str">
        <f>NamaPelanggan!E489</f>
        <v>TAMANSARI</v>
      </c>
      <c r="F490" s="23">
        <f>NamaPelanggan!H489</f>
        <v>100000</v>
      </c>
      <c r="G490" s="24"/>
      <c r="H490" s="24">
        <v>100000</v>
      </c>
      <c r="I490" s="24"/>
      <c r="J490" s="24"/>
      <c r="K490" s="24"/>
      <c r="L490" s="19" t="str">
        <f t="shared" si="12"/>
        <v>LUNAS</v>
      </c>
      <c r="M490" s="24"/>
      <c r="N490" s="22"/>
      <c r="O490" s="6"/>
      <c r="P490" s="6"/>
      <c r="Q490" s="6"/>
    </row>
    <row r="491" spans="1:17" ht="12.75" customHeight="1" x14ac:dyDescent="0.3">
      <c r="A491" s="6"/>
      <c r="B491" s="19">
        <v>488</v>
      </c>
      <c r="C491" s="20" t="str">
        <f>NamaPelanggan!C490</f>
        <v>TAM-488</v>
      </c>
      <c r="D491" s="21" t="str">
        <f>NamaPelanggan!D490</f>
        <v>YAYAN@MIRNA</v>
      </c>
      <c r="E491" s="21" t="str">
        <f>NamaPelanggan!E490</f>
        <v>TAMANSARI</v>
      </c>
      <c r="F491" s="23">
        <f>NamaPelanggan!H490</f>
        <v>100000</v>
      </c>
      <c r="G491" s="24"/>
      <c r="H491" s="24"/>
      <c r="I491" s="24"/>
      <c r="J491" s="24"/>
      <c r="K491" s="24"/>
      <c r="L491" s="19" t="str">
        <f t="shared" si="12"/>
        <v>BELUM LUNAS</v>
      </c>
      <c r="M491" s="24">
        <v>200000</v>
      </c>
      <c r="N491" s="22" t="s">
        <v>583</v>
      </c>
      <c r="O491" s="6"/>
      <c r="P491" s="6"/>
      <c r="Q491" s="6"/>
    </row>
    <row r="492" spans="1:17" ht="12.75" customHeight="1" x14ac:dyDescent="0.3">
      <c r="A492" s="6"/>
      <c r="B492" s="19">
        <v>489</v>
      </c>
      <c r="C492" s="20" t="str">
        <f>NamaPelanggan!C491</f>
        <v>TAM-489</v>
      </c>
      <c r="D492" s="21" t="str">
        <f>NamaPelanggan!D491</f>
        <v>nita.krajan.082325252182</v>
      </c>
      <c r="E492" s="21" t="str">
        <f>NamaPelanggan!E491</f>
        <v>TAMANSARI</v>
      </c>
      <c r="F492" s="23">
        <f>NamaPelanggan!H491</f>
        <v>100000</v>
      </c>
      <c r="G492" s="24"/>
      <c r="H492" s="24">
        <v>100000</v>
      </c>
      <c r="I492" s="24"/>
      <c r="J492" s="24"/>
      <c r="K492" s="24"/>
      <c r="L492" s="19" t="str">
        <f t="shared" si="12"/>
        <v>LUNAS</v>
      </c>
      <c r="M492" s="24">
        <v>100000</v>
      </c>
      <c r="N492" s="22" t="s">
        <v>574</v>
      </c>
      <c r="O492" s="6"/>
      <c r="P492" s="6"/>
      <c r="Q492" s="6"/>
    </row>
    <row r="493" spans="1:17" ht="12.75" customHeight="1" x14ac:dyDescent="0.3">
      <c r="A493" s="6"/>
      <c r="B493" s="19">
        <v>490</v>
      </c>
      <c r="C493" s="20" t="str">
        <f>NamaPelanggan!C492</f>
        <v>TAM-490</v>
      </c>
      <c r="D493" s="21" t="str">
        <f>NamaPelanggan!D492</f>
        <v>ARIP.RT.TAMANSARI</v>
      </c>
      <c r="E493" s="21" t="str">
        <f>NamaPelanggan!E492</f>
        <v>TAMANSARI</v>
      </c>
      <c r="F493" s="23" t="str">
        <f>NamaPelanggan!H492</f>
        <v>free</v>
      </c>
      <c r="G493" s="24"/>
      <c r="H493" s="24"/>
      <c r="I493" s="24"/>
      <c r="J493" s="24"/>
      <c r="K493" s="24"/>
      <c r="L493" s="19" t="s">
        <v>550</v>
      </c>
      <c r="M493" s="24"/>
      <c r="N493" s="22"/>
      <c r="O493" s="6"/>
      <c r="P493" s="6"/>
      <c r="Q493" s="6"/>
    </row>
    <row r="494" spans="1:17" ht="12.75" customHeight="1" x14ac:dyDescent="0.3">
      <c r="A494" s="6"/>
      <c r="B494" s="19">
        <v>491</v>
      </c>
      <c r="C494" s="20" t="str">
        <f>NamaPelanggan!C493</f>
        <v>TAM-491</v>
      </c>
      <c r="D494" s="21" t="str">
        <f>NamaPelanggan!D493</f>
        <v>alfarizi</v>
      </c>
      <c r="E494" s="21" t="str">
        <f>NamaPelanggan!E493</f>
        <v>TAMANSARI</v>
      </c>
      <c r="F494" s="23" t="str">
        <f>NamaPelanggan!H493</f>
        <v>free</v>
      </c>
      <c r="G494" s="24"/>
      <c r="H494" s="24"/>
      <c r="I494" s="24"/>
      <c r="J494" s="24"/>
      <c r="K494" s="24"/>
      <c r="L494" s="19" t="s">
        <v>550</v>
      </c>
      <c r="M494" s="24"/>
      <c r="N494" s="22"/>
      <c r="O494" s="6"/>
      <c r="P494" s="6"/>
      <c r="Q494" s="6"/>
    </row>
    <row r="495" spans="1:17" ht="12.75" customHeight="1" x14ac:dyDescent="0.3">
      <c r="A495" s="6"/>
      <c r="B495" s="19">
        <v>492</v>
      </c>
      <c r="C495" s="20" t="str">
        <f>NamaPelanggan!C494</f>
        <v>TAM-492</v>
      </c>
      <c r="D495" s="21" t="str">
        <f>NamaPelanggan!D494</f>
        <v>rizal</v>
      </c>
      <c r="E495" s="21" t="str">
        <f>NamaPelanggan!E494</f>
        <v>TAMANSARI</v>
      </c>
      <c r="F495" s="23">
        <f>NamaPelanggan!H494</f>
        <v>100000</v>
      </c>
      <c r="G495" s="24"/>
      <c r="H495" s="24"/>
      <c r="I495" s="24">
        <v>100000</v>
      </c>
      <c r="J495" s="24"/>
      <c r="K495" s="24"/>
      <c r="L495" s="19" t="str">
        <f t="shared" si="12"/>
        <v>LUNAS</v>
      </c>
      <c r="M495" s="24"/>
      <c r="N495" s="22"/>
      <c r="O495" s="6"/>
      <c r="P495" s="6"/>
      <c r="Q495" s="6"/>
    </row>
    <row r="496" spans="1:17" ht="12.75" customHeight="1" x14ac:dyDescent="0.3">
      <c r="A496" s="6"/>
      <c r="B496" s="19">
        <v>493</v>
      </c>
      <c r="C496" s="20" t="str">
        <f>NamaPelanggan!C495</f>
        <v>TAM-493</v>
      </c>
      <c r="D496" s="21" t="str">
        <f>NamaPelanggan!D495</f>
        <v>udin</v>
      </c>
      <c r="E496" s="21" t="str">
        <f>NamaPelanggan!E495</f>
        <v>TAMANSARI</v>
      </c>
      <c r="F496" s="23">
        <f>NamaPelanggan!H495</f>
        <v>100000</v>
      </c>
      <c r="G496" s="24"/>
      <c r="H496" s="24"/>
      <c r="I496" s="24">
        <v>100000</v>
      </c>
      <c r="J496" s="24"/>
      <c r="K496" s="24"/>
      <c r="L496" s="19" t="str">
        <f t="shared" si="12"/>
        <v>LUNAS</v>
      </c>
      <c r="M496" s="24"/>
      <c r="N496" s="22"/>
      <c r="O496" s="6"/>
      <c r="P496" s="6"/>
      <c r="Q496" s="6"/>
    </row>
    <row r="497" spans="1:17" ht="12.75" customHeight="1" x14ac:dyDescent="0.3">
      <c r="A497" s="6"/>
      <c r="B497" s="19">
        <v>494</v>
      </c>
      <c r="C497" s="20" t="str">
        <f>NamaPelanggan!C496</f>
        <v>TAN-494</v>
      </c>
      <c r="D497" s="21" t="str">
        <f>NamaPelanggan!D496</f>
        <v>pipit tn</v>
      </c>
      <c r="E497" s="21" t="str">
        <f>NamaPelanggan!E496</f>
        <v>tanahlos</v>
      </c>
      <c r="F497" s="23">
        <f>NamaPelanggan!H496</f>
        <v>100000</v>
      </c>
      <c r="G497" s="24"/>
      <c r="H497" s="24"/>
      <c r="I497" s="24">
        <v>100000</v>
      </c>
      <c r="J497" s="24"/>
      <c r="K497" s="24"/>
      <c r="L497" s="19" t="str">
        <f t="shared" si="12"/>
        <v>LUNAS</v>
      </c>
      <c r="M497" s="24"/>
      <c r="N497" s="22"/>
      <c r="O497" s="6"/>
      <c r="P497" s="6"/>
      <c r="Q497" s="6"/>
    </row>
    <row r="498" spans="1:17" ht="12.75" customHeight="1" x14ac:dyDescent="0.3">
      <c r="A498" s="6"/>
      <c r="B498" s="19">
        <v>495</v>
      </c>
      <c r="C498" s="20" t="str">
        <f>NamaPelanggan!C497</f>
        <v>IDI-495</v>
      </c>
      <c r="D498" s="21" t="str">
        <f>NamaPelanggan!D497</f>
        <v>nanang</v>
      </c>
      <c r="E498" s="21" t="str">
        <f>NamaPelanggan!E497</f>
        <v>idinan</v>
      </c>
      <c r="F498" s="23" t="s">
        <v>568</v>
      </c>
      <c r="G498" s="24"/>
      <c r="H498" s="24"/>
      <c r="I498" s="24"/>
      <c r="J498" s="24"/>
      <c r="K498" s="24"/>
      <c r="L498" s="19" t="s">
        <v>550</v>
      </c>
      <c r="M498" s="24"/>
      <c r="N498" s="22"/>
      <c r="O498" s="6"/>
      <c r="P498" s="6"/>
      <c r="Q498" s="6"/>
    </row>
    <row r="499" spans="1:17" ht="12.75" customHeight="1" x14ac:dyDescent="0.3">
      <c r="A499" s="6"/>
      <c r="B499" s="19">
        <v>496</v>
      </c>
      <c r="C499" s="20" t="str">
        <f>NamaPelanggan!C498</f>
        <v>TAN-496</v>
      </c>
      <c r="D499" s="21" t="str">
        <f>NamaPelanggan!D498</f>
        <v>mawardi</v>
      </c>
      <c r="E499" s="21" t="str">
        <f>NamaPelanggan!E498</f>
        <v>tanahlos</v>
      </c>
      <c r="F499" s="23">
        <f>NamaPelanggan!H498</f>
        <v>100000</v>
      </c>
      <c r="G499" s="24"/>
      <c r="H499" s="24"/>
      <c r="I499" s="24"/>
      <c r="J499" s="24"/>
      <c r="K499" s="24"/>
      <c r="L499" s="19" t="str">
        <f t="shared" si="12"/>
        <v>BELUM LUNAS</v>
      </c>
      <c r="M499" s="24">
        <v>100000</v>
      </c>
      <c r="N499" s="22" t="s">
        <v>574</v>
      </c>
      <c r="O499" s="6"/>
      <c r="P499" s="6"/>
      <c r="Q499" s="6"/>
    </row>
    <row r="500" spans="1:17" ht="12.75" customHeight="1" x14ac:dyDescent="0.3">
      <c r="A500" s="6"/>
      <c r="B500" s="19">
        <v>497</v>
      </c>
      <c r="C500" s="20" t="str">
        <f>NamaPelanggan!C499</f>
        <v>TAM-497</v>
      </c>
      <c r="D500" s="21" t="str">
        <f>NamaPelanggan!D499</f>
        <v>cinta</v>
      </c>
      <c r="E500" s="21" t="str">
        <f>NamaPelanggan!E499</f>
        <v>tamansari</v>
      </c>
      <c r="F500" s="23">
        <f>NamaPelanggan!H499</f>
        <v>100000</v>
      </c>
      <c r="G500" s="24"/>
      <c r="H500" s="24"/>
      <c r="I500" s="24"/>
      <c r="J500" s="24"/>
      <c r="K500" s="24"/>
      <c r="L500" s="19" t="str">
        <f t="shared" si="12"/>
        <v>BELUM LUNAS</v>
      </c>
      <c r="M500" s="24">
        <v>100000</v>
      </c>
      <c r="N500" s="22" t="s">
        <v>574</v>
      </c>
      <c r="O500" s="6"/>
      <c r="P500" s="6"/>
      <c r="Q500" s="6"/>
    </row>
    <row r="501" spans="1:17" ht="12.75" customHeight="1" x14ac:dyDescent="0.3">
      <c r="A501" s="6"/>
      <c r="B501" s="19">
        <v>498</v>
      </c>
      <c r="C501" s="20" t="str">
        <f>NamaPelanggan!C500</f>
        <v>BON-498</v>
      </c>
      <c r="D501" s="21" t="str">
        <f>NamaPelanggan!D500</f>
        <v>jun</v>
      </c>
      <c r="E501" s="21" t="str">
        <f>NamaPelanggan!E500</f>
        <v>bondadap</v>
      </c>
      <c r="F501" s="23" t="s">
        <v>568</v>
      </c>
      <c r="G501" s="24"/>
      <c r="H501" s="24"/>
      <c r="I501" s="24"/>
      <c r="J501" s="24"/>
      <c r="K501" s="24"/>
      <c r="L501" s="19" t="s">
        <v>550</v>
      </c>
      <c r="M501" s="24"/>
      <c r="N501" s="22"/>
      <c r="O501" s="6"/>
      <c r="P501" s="6"/>
      <c r="Q501" s="6"/>
    </row>
    <row r="502" spans="1:17" ht="12.75" customHeight="1" x14ac:dyDescent="0.3">
      <c r="A502" s="6"/>
      <c r="B502" s="19">
        <v>499</v>
      </c>
      <c r="C502" s="20" t="str">
        <f>NamaPelanggan!C501</f>
        <v>TAN-499</v>
      </c>
      <c r="D502" s="21" t="str">
        <f>NamaPelanggan!D501</f>
        <v>lelita</v>
      </c>
      <c r="E502" s="21" t="str">
        <f>NamaPelanggan!E501</f>
        <v>tanahlos</v>
      </c>
      <c r="F502" s="23">
        <f>NamaPelanggan!H501</f>
        <v>100000</v>
      </c>
      <c r="G502" s="24"/>
      <c r="H502" s="24"/>
      <c r="I502" s="24">
        <v>100000</v>
      </c>
      <c r="J502" s="24"/>
      <c r="K502" s="24"/>
      <c r="L502" s="19" t="str">
        <f t="shared" si="12"/>
        <v>LUNAS</v>
      </c>
      <c r="M502" s="24"/>
      <c r="N502" s="22"/>
      <c r="O502" s="6"/>
      <c r="P502" s="6"/>
      <c r="Q502" s="6"/>
    </row>
    <row r="503" spans="1:17" ht="12.75" customHeight="1" x14ac:dyDescent="0.3">
      <c r="A503" s="6"/>
      <c r="B503" s="19">
        <v>500</v>
      </c>
      <c r="C503" s="20" t="str">
        <f>NamaPelanggan!C502</f>
        <v>TOW-500</v>
      </c>
      <c r="D503" s="21" t="str">
        <f>NamaPelanggan!D502</f>
        <v>JTV</v>
      </c>
      <c r="E503" s="21" t="str">
        <f>NamaPelanggan!E502</f>
        <v>TOWER</v>
      </c>
      <c r="F503" s="23">
        <f>NamaPelanggan!H502</f>
        <v>700000</v>
      </c>
      <c r="G503" s="24"/>
      <c r="H503" s="24"/>
      <c r="I503" s="24"/>
      <c r="J503" s="24">
        <v>700000</v>
      </c>
      <c r="K503" s="24"/>
      <c r="L503" s="19" t="str">
        <f t="shared" si="12"/>
        <v>LUNAS</v>
      </c>
      <c r="M503" s="24"/>
      <c r="N503" s="22"/>
      <c r="O503" s="6"/>
      <c r="P503" s="6"/>
      <c r="Q503" s="6"/>
    </row>
    <row r="504" spans="1:17" ht="12.75" customHeight="1" x14ac:dyDescent="0.3">
      <c r="A504" s="6"/>
      <c r="B504" s="19">
        <v>501</v>
      </c>
      <c r="C504" s="14"/>
      <c r="D504" s="21">
        <f>NamaPelanggan!D504</f>
        <v>0</v>
      </c>
      <c r="E504" s="14"/>
      <c r="F504" s="16"/>
      <c r="G504" s="16"/>
      <c r="H504" s="16"/>
      <c r="I504" s="16"/>
      <c r="J504" s="16"/>
      <c r="K504" s="16"/>
      <c r="L504" s="14"/>
      <c r="M504" s="16"/>
      <c r="N504" s="14"/>
      <c r="O504" s="6"/>
      <c r="P504" s="6"/>
      <c r="Q504" s="6"/>
    </row>
    <row r="505" spans="1:17" ht="12.75" customHeight="1" x14ac:dyDescent="0.3">
      <c r="A505" s="6"/>
      <c r="B505" s="19">
        <v>502</v>
      </c>
      <c r="C505" s="14"/>
      <c r="D505" s="21">
        <f>NamaPelanggan!D505</f>
        <v>0</v>
      </c>
      <c r="E505" s="14"/>
      <c r="F505" s="16"/>
      <c r="G505" s="16"/>
      <c r="H505" s="16"/>
      <c r="I505" s="16"/>
      <c r="J505" s="16"/>
      <c r="K505" s="16"/>
      <c r="L505" s="14"/>
      <c r="M505" s="16"/>
      <c r="N505" s="14"/>
      <c r="O505" s="6"/>
      <c r="P505" s="6"/>
      <c r="Q505" s="6"/>
    </row>
    <row r="506" spans="1:17" ht="12.75" customHeight="1" x14ac:dyDescent="0.3">
      <c r="A506" s="6"/>
      <c r="B506" s="19">
        <v>503</v>
      </c>
      <c r="C506" s="14"/>
      <c r="D506" s="21">
        <f>NamaPelanggan!D506</f>
        <v>0</v>
      </c>
      <c r="E506" s="14"/>
      <c r="F506" s="16"/>
      <c r="G506" s="16"/>
      <c r="H506" s="16"/>
      <c r="I506" s="16"/>
      <c r="J506" s="16"/>
      <c r="K506" s="16"/>
      <c r="L506" s="14"/>
      <c r="M506" s="16"/>
      <c r="N506" s="14"/>
      <c r="O506" s="6"/>
      <c r="P506" s="6"/>
      <c r="Q506" s="6"/>
    </row>
    <row r="507" spans="1:17" ht="12.75" customHeight="1" x14ac:dyDescent="0.3">
      <c r="A507" s="6"/>
      <c r="B507" s="19">
        <v>504</v>
      </c>
      <c r="C507" s="14"/>
      <c r="D507" s="21">
        <f>NamaPelanggan!D507</f>
        <v>0</v>
      </c>
      <c r="E507" s="14"/>
      <c r="F507" s="16"/>
      <c r="G507" s="16"/>
      <c r="H507" s="16"/>
      <c r="I507" s="16"/>
      <c r="J507" s="16"/>
      <c r="K507" s="16"/>
      <c r="L507" s="14"/>
      <c r="M507" s="16"/>
      <c r="N507" s="14"/>
      <c r="O507" s="6"/>
      <c r="P507" s="6"/>
      <c r="Q507" s="6"/>
    </row>
    <row r="508" spans="1:17" ht="12.75" customHeight="1" x14ac:dyDescent="0.3">
      <c r="A508" s="6"/>
      <c r="B508" s="19">
        <v>505</v>
      </c>
      <c r="C508" s="14"/>
      <c r="D508" s="21">
        <f>NamaPelanggan!D508</f>
        <v>0</v>
      </c>
      <c r="E508" s="14"/>
      <c r="F508" s="16"/>
      <c r="G508" s="16"/>
      <c r="H508" s="16"/>
      <c r="I508" s="16"/>
      <c r="J508" s="16"/>
      <c r="K508" s="16"/>
      <c r="L508" s="14"/>
      <c r="M508" s="16"/>
      <c r="N508" s="14"/>
      <c r="O508" s="6"/>
      <c r="P508" s="6"/>
      <c r="Q508" s="6"/>
    </row>
    <row r="509" spans="1:17" ht="12.75" customHeight="1" x14ac:dyDescent="0.3">
      <c r="A509" s="6"/>
      <c r="B509" s="19">
        <v>506</v>
      </c>
      <c r="C509" s="14"/>
      <c r="D509" s="21">
        <f>NamaPelanggan!D509</f>
        <v>0</v>
      </c>
      <c r="E509" s="14"/>
      <c r="F509" s="16"/>
      <c r="G509" s="16"/>
      <c r="H509" s="16"/>
      <c r="I509" s="16"/>
      <c r="J509" s="16"/>
      <c r="K509" s="16"/>
      <c r="L509" s="14"/>
      <c r="M509" s="16"/>
      <c r="N509" s="14"/>
      <c r="O509" s="6"/>
      <c r="P509" s="6"/>
      <c r="Q509" s="6"/>
    </row>
    <row r="510" spans="1:17" ht="12.75" customHeight="1" x14ac:dyDescent="0.3">
      <c r="A510" s="6"/>
      <c r="B510" s="19">
        <v>507</v>
      </c>
      <c r="C510" s="14"/>
      <c r="D510" s="21">
        <f>NamaPelanggan!D510</f>
        <v>0</v>
      </c>
      <c r="E510" s="14"/>
      <c r="F510" s="16"/>
      <c r="G510" s="16"/>
      <c r="H510" s="16"/>
      <c r="I510" s="16"/>
      <c r="J510" s="16"/>
      <c r="K510" s="16"/>
      <c r="L510" s="14"/>
      <c r="M510" s="16"/>
      <c r="N510" s="14"/>
      <c r="O510" s="6"/>
      <c r="P510" s="6"/>
      <c r="Q510" s="6"/>
    </row>
    <row r="511" spans="1:17" ht="12.75" customHeight="1" x14ac:dyDescent="0.3">
      <c r="A511" s="6"/>
      <c r="B511" s="19">
        <v>508</v>
      </c>
      <c r="C511" s="14"/>
      <c r="D511" s="21">
        <f>NamaPelanggan!D511</f>
        <v>0</v>
      </c>
      <c r="E511" s="14"/>
      <c r="F511" s="16"/>
      <c r="G511" s="16"/>
      <c r="H511" s="16"/>
      <c r="I511" s="16"/>
      <c r="J511" s="16"/>
      <c r="K511" s="16"/>
      <c r="L511" s="14"/>
      <c r="M511" s="16"/>
      <c r="N511" s="14"/>
      <c r="O511" s="6"/>
      <c r="P511" s="6"/>
      <c r="Q511" s="6"/>
    </row>
    <row r="512" spans="1:17" ht="12.75" customHeight="1" x14ac:dyDescent="0.3">
      <c r="A512" s="6"/>
      <c r="B512" s="19">
        <v>509</v>
      </c>
      <c r="C512" s="14"/>
      <c r="D512" s="21">
        <f>NamaPelanggan!D512</f>
        <v>0</v>
      </c>
      <c r="E512" s="14"/>
      <c r="F512" s="16"/>
      <c r="G512" s="16"/>
      <c r="H512" s="16"/>
      <c r="I512" s="16"/>
      <c r="J512" s="16"/>
      <c r="K512" s="16"/>
      <c r="L512" s="14"/>
      <c r="M512" s="16"/>
      <c r="N512" s="14"/>
      <c r="O512" s="6"/>
      <c r="P512" s="6"/>
      <c r="Q512" s="6"/>
    </row>
    <row r="513" spans="1:17" ht="12.75" customHeight="1" x14ac:dyDescent="0.3">
      <c r="A513" s="6"/>
      <c r="B513" s="19">
        <v>510</v>
      </c>
      <c r="C513" s="14"/>
      <c r="D513" s="21">
        <f>NamaPelanggan!D513</f>
        <v>0</v>
      </c>
      <c r="E513" s="14"/>
      <c r="F513" s="16"/>
      <c r="G513" s="16"/>
      <c r="H513" s="16"/>
      <c r="I513" s="16"/>
      <c r="J513" s="16"/>
      <c r="K513" s="16"/>
      <c r="L513" s="14"/>
      <c r="M513" s="16"/>
      <c r="N513" s="14"/>
      <c r="O513" s="6"/>
      <c r="P513" s="6"/>
      <c r="Q513" s="6"/>
    </row>
    <row r="514" spans="1:17" ht="12.75" customHeight="1" x14ac:dyDescent="0.3">
      <c r="A514" s="6"/>
      <c r="B514" s="19">
        <v>511</v>
      </c>
      <c r="C514" s="14"/>
      <c r="D514" s="21">
        <f>NamaPelanggan!D514</f>
        <v>0</v>
      </c>
      <c r="E514" s="14"/>
      <c r="F514" s="16"/>
      <c r="G514" s="16"/>
      <c r="H514" s="16"/>
      <c r="I514" s="16"/>
      <c r="J514" s="16"/>
      <c r="K514" s="16"/>
      <c r="L514" s="14"/>
      <c r="M514" s="16"/>
      <c r="N514" s="14"/>
      <c r="O514" s="6"/>
      <c r="P514" s="6"/>
      <c r="Q514" s="6"/>
    </row>
    <row r="515" spans="1:17" ht="12.75" customHeight="1" x14ac:dyDescent="0.3">
      <c r="A515" s="6"/>
      <c r="B515" s="19">
        <v>512</v>
      </c>
      <c r="C515" s="14"/>
      <c r="D515" s="21">
        <f>NamaPelanggan!D515</f>
        <v>0</v>
      </c>
      <c r="E515" s="14"/>
      <c r="F515" s="16"/>
      <c r="G515" s="16"/>
      <c r="H515" s="16"/>
      <c r="I515" s="16"/>
      <c r="J515" s="16"/>
      <c r="K515" s="16"/>
      <c r="L515" s="14"/>
      <c r="M515" s="16"/>
      <c r="N515" s="14"/>
      <c r="O515" s="6"/>
      <c r="P515" s="6"/>
      <c r="Q515" s="6"/>
    </row>
    <row r="516" spans="1:17" ht="12.75" customHeight="1" x14ac:dyDescent="0.3">
      <c r="A516" s="6"/>
      <c r="B516" s="19">
        <v>513</v>
      </c>
      <c r="C516" s="14"/>
      <c r="D516" s="21">
        <f>NamaPelanggan!D516</f>
        <v>0</v>
      </c>
      <c r="E516" s="14"/>
      <c r="F516" s="16"/>
      <c r="G516" s="16"/>
      <c r="H516" s="16"/>
      <c r="I516" s="16"/>
      <c r="J516" s="16"/>
      <c r="K516" s="16"/>
      <c r="L516" s="14"/>
      <c r="M516" s="16"/>
      <c r="N516" s="14"/>
      <c r="O516" s="6"/>
      <c r="P516" s="6"/>
      <c r="Q516" s="6"/>
    </row>
    <row r="517" spans="1:17" ht="12.75" customHeight="1" x14ac:dyDescent="0.3">
      <c r="A517" s="6"/>
      <c r="B517" s="19">
        <v>514</v>
      </c>
      <c r="C517" s="14"/>
      <c r="D517" s="21">
        <f>NamaPelanggan!D517</f>
        <v>0</v>
      </c>
      <c r="E517" s="14"/>
      <c r="F517" s="16"/>
      <c r="G517" s="16"/>
      <c r="H517" s="16"/>
      <c r="I517" s="16"/>
      <c r="J517" s="16"/>
      <c r="K517" s="16"/>
      <c r="L517" s="14"/>
      <c r="M517" s="16"/>
      <c r="N517" s="14"/>
      <c r="O517" s="6"/>
      <c r="P517" s="6"/>
      <c r="Q517" s="6"/>
    </row>
    <row r="518" spans="1:17" ht="12.75" customHeight="1" x14ac:dyDescent="0.3">
      <c r="A518" s="6"/>
      <c r="B518" s="19">
        <v>515</v>
      </c>
      <c r="C518" s="14"/>
      <c r="D518" s="21">
        <f>NamaPelanggan!D518</f>
        <v>0</v>
      </c>
      <c r="E518" s="14"/>
      <c r="F518" s="16"/>
      <c r="G518" s="16"/>
      <c r="H518" s="16"/>
      <c r="I518" s="16"/>
      <c r="J518" s="16"/>
      <c r="K518" s="16"/>
      <c r="L518" s="14"/>
      <c r="M518" s="16"/>
      <c r="N518" s="14"/>
      <c r="O518" s="6"/>
      <c r="P518" s="6"/>
      <c r="Q518" s="6"/>
    </row>
    <row r="519" spans="1:17" ht="12.75" customHeight="1" x14ac:dyDescent="0.3">
      <c r="A519" s="6"/>
      <c r="B519" s="19">
        <v>516</v>
      </c>
      <c r="C519" s="14"/>
      <c r="D519" s="21">
        <f>NamaPelanggan!D519</f>
        <v>0</v>
      </c>
      <c r="E519" s="14"/>
      <c r="F519" s="16"/>
      <c r="G519" s="16"/>
      <c r="H519" s="16"/>
      <c r="I519" s="16"/>
      <c r="J519" s="16"/>
      <c r="K519" s="16"/>
      <c r="L519" s="14"/>
      <c r="M519" s="16"/>
      <c r="N519" s="14"/>
      <c r="O519" s="6"/>
      <c r="P519" s="6"/>
      <c r="Q519" s="6"/>
    </row>
    <row r="520" spans="1:17" ht="12.75" customHeight="1" x14ac:dyDescent="0.3">
      <c r="A520" s="6"/>
      <c r="B520" s="19">
        <v>517</v>
      </c>
      <c r="C520" s="14"/>
      <c r="D520" s="21">
        <f>NamaPelanggan!D520</f>
        <v>0</v>
      </c>
      <c r="E520" s="14"/>
      <c r="F520" s="16"/>
      <c r="G520" s="16"/>
      <c r="H520" s="16"/>
      <c r="I520" s="16"/>
      <c r="J520" s="16"/>
      <c r="K520" s="16"/>
      <c r="L520" s="14"/>
      <c r="M520" s="16"/>
      <c r="N520" s="14"/>
      <c r="O520" s="6"/>
      <c r="P520" s="6"/>
      <c r="Q520" s="6"/>
    </row>
    <row r="521" spans="1:17" ht="12.75" customHeight="1" x14ac:dyDescent="0.3">
      <c r="A521" s="6"/>
      <c r="B521" s="19">
        <v>518</v>
      </c>
      <c r="C521" s="14"/>
      <c r="D521" s="21">
        <f>NamaPelanggan!D521</f>
        <v>0</v>
      </c>
      <c r="E521" s="14"/>
      <c r="F521" s="16"/>
      <c r="G521" s="16"/>
      <c r="H521" s="16"/>
      <c r="I521" s="16"/>
      <c r="J521" s="16"/>
      <c r="K521" s="16"/>
      <c r="L521" s="14"/>
      <c r="M521" s="16"/>
      <c r="N521" s="14"/>
      <c r="O521" s="6"/>
      <c r="P521" s="6"/>
      <c r="Q521" s="6"/>
    </row>
    <row r="522" spans="1:17" ht="12.75" customHeight="1" x14ac:dyDescent="0.3">
      <c r="A522" s="6"/>
      <c r="B522" s="19">
        <v>519</v>
      </c>
      <c r="C522" s="14"/>
      <c r="D522" s="21">
        <f>NamaPelanggan!D522</f>
        <v>0</v>
      </c>
      <c r="E522" s="14"/>
      <c r="F522" s="16"/>
      <c r="G522" s="16"/>
      <c r="H522" s="16"/>
      <c r="I522" s="16"/>
      <c r="J522" s="16"/>
      <c r="K522" s="16"/>
      <c r="L522" s="14"/>
      <c r="M522" s="16"/>
      <c r="N522" s="14"/>
      <c r="O522" s="6"/>
      <c r="P522" s="6"/>
      <c r="Q522" s="6"/>
    </row>
    <row r="523" spans="1:17" ht="12.75" customHeight="1" x14ac:dyDescent="0.3">
      <c r="A523" s="6"/>
      <c r="B523" s="19">
        <v>520</v>
      </c>
      <c r="C523" s="14"/>
      <c r="D523" s="21">
        <f>NamaPelanggan!D523</f>
        <v>0</v>
      </c>
      <c r="E523" s="14"/>
      <c r="F523" s="16"/>
      <c r="G523" s="16"/>
      <c r="H523" s="16"/>
      <c r="I523" s="16"/>
      <c r="J523" s="16"/>
      <c r="K523" s="16"/>
      <c r="L523" s="14"/>
      <c r="M523" s="16"/>
      <c r="N523" s="14"/>
      <c r="O523" s="6"/>
      <c r="P523" s="6"/>
      <c r="Q523" s="6"/>
    </row>
    <row r="524" spans="1:17" ht="12.75" customHeight="1" x14ac:dyDescent="0.3">
      <c r="A524" s="6"/>
      <c r="B524" s="19">
        <v>521</v>
      </c>
      <c r="C524" s="14"/>
      <c r="D524" s="21">
        <f>NamaPelanggan!D524</f>
        <v>0</v>
      </c>
      <c r="E524" s="14"/>
      <c r="F524" s="16"/>
      <c r="G524" s="16"/>
      <c r="H524" s="16"/>
      <c r="I524" s="16"/>
      <c r="J524" s="16"/>
      <c r="K524" s="16"/>
      <c r="L524" s="14"/>
      <c r="M524" s="16"/>
      <c r="N524" s="14"/>
      <c r="O524" s="6"/>
      <c r="P524" s="6"/>
      <c r="Q524" s="6"/>
    </row>
    <row r="525" spans="1:17" ht="12.75" customHeight="1" x14ac:dyDescent="0.3">
      <c r="A525" s="6"/>
      <c r="B525" s="19">
        <v>522</v>
      </c>
      <c r="C525" s="14"/>
      <c r="D525" s="21">
        <f>NamaPelanggan!D525</f>
        <v>0</v>
      </c>
      <c r="E525" s="14"/>
      <c r="F525" s="16"/>
      <c r="G525" s="16"/>
      <c r="H525" s="16"/>
      <c r="I525" s="16"/>
      <c r="J525" s="16"/>
      <c r="K525" s="16"/>
      <c r="L525" s="14"/>
      <c r="M525" s="16"/>
      <c r="N525" s="14"/>
      <c r="O525" s="6"/>
      <c r="P525" s="6"/>
      <c r="Q525" s="6"/>
    </row>
    <row r="526" spans="1:17" ht="12.75" customHeight="1" x14ac:dyDescent="0.3">
      <c r="A526" s="6"/>
      <c r="B526" s="19">
        <v>523</v>
      </c>
      <c r="C526" s="14"/>
      <c r="D526" s="21">
        <f>NamaPelanggan!D526</f>
        <v>0</v>
      </c>
      <c r="E526" s="14"/>
      <c r="F526" s="16"/>
      <c r="G526" s="16"/>
      <c r="H526" s="16"/>
      <c r="I526" s="16"/>
      <c r="J526" s="16"/>
      <c r="K526" s="16"/>
      <c r="L526" s="14"/>
      <c r="M526" s="16"/>
      <c r="N526" s="14"/>
      <c r="O526" s="6"/>
      <c r="P526" s="6"/>
      <c r="Q526" s="6"/>
    </row>
    <row r="527" spans="1:17" ht="12.75" customHeight="1" x14ac:dyDescent="0.3">
      <c r="A527" s="6"/>
      <c r="B527" s="19">
        <v>524</v>
      </c>
      <c r="C527" s="14"/>
      <c r="D527" s="21">
        <f>NamaPelanggan!D527</f>
        <v>0</v>
      </c>
      <c r="E527" s="14"/>
      <c r="F527" s="16"/>
      <c r="G527" s="16"/>
      <c r="H527" s="16"/>
      <c r="I527" s="16"/>
      <c r="J527" s="16"/>
      <c r="K527" s="16"/>
      <c r="L527" s="14"/>
      <c r="M527" s="16"/>
      <c r="N527" s="14"/>
      <c r="O527" s="6"/>
      <c r="P527" s="6"/>
      <c r="Q527" s="6"/>
    </row>
    <row r="528" spans="1:17" ht="12.75" customHeight="1" x14ac:dyDescent="0.3">
      <c r="A528" s="6"/>
      <c r="B528" s="19">
        <v>525</v>
      </c>
      <c r="C528" s="14"/>
      <c r="D528" s="21">
        <f>NamaPelanggan!D528</f>
        <v>0</v>
      </c>
      <c r="E528" s="14"/>
      <c r="F528" s="16"/>
      <c r="G528" s="16"/>
      <c r="H528" s="16"/>
      <c r="I528" s="16"/>
      <c r="J528" s="16"/>
      <c r="K528" s="16"/>
      <c r="L528" s="14"/>
      <c r="M528" s="16"/>
      <c r="N528" s="14"/>
      <c r="O528" s="6"/>
      <c r="P528" s="6"/>
      <c r="Q528" s="6"/>
    </row>
    <row r="529" spans="1:17" ht="12.75" customHeight="1" x14ac:dyDescent="0.3">
      <c r="A529" s="6"/>
      <c r="B529" s="19">
        <v>526</v>
      </c>
      <c r="C529" s="14"/>
      <c r="D529" s="21">
        <f>NamaPelanggan!D529</f>
        <v>0</v>
      </c>
      <c r="E529" s="14"/>
      <c r="F529" s="16"/>
      <c r="G529" s="16"/>
      <c r="H529" s="16"/>
      <c r="I529" s="16"/>
      <c r="J529" s="16"/>
      <c r="K529" s="16"/>
      <c r="L529" s="14"/>
      <c r="M529" s="16"/>
      <c r="N529" s="14"/>
      <c r="O529" s="6"/>
      <c r="P529" s="6"/>
      <c r="Q529" s="6"/>
    </row>
    <row r="530" spans="1:17" ht="12.75" customHeight="1" x14ac:dyDescent="0.3">
      <c r="A530" s="6"/>
      <c r="B530" s="19">
        <v>527</v>
      </c>
      <c r="C530" s="14"/>
      <c r="D530" s="21">
        <f>NamaPelanggan!D530</f>
        <v>0</v>
      </c>
      <c r="E530" s="14"/>
      <c r="F530" s="16"/>
      <c r="G530" s="16"/>
      <c r="H530" s="16"/>
      <c r="I530" s="16"/>
      <c r="J530" s="16"/>
      <c r="K530" s="16"/>
      <c r="L530" s="14"/>
      <c r="M530" s="16"/>
      <c r="N530" s="14"/>
      <c r="O530" s="6"/>
      <c r="P530" s="6"/>
      <c r="Q530" s="6"/>
    </row>
    <row r="531" spans="1:17" ht="12.75" customHeight="1" x14ac:dyDescent="0.3">
      <c r="A531" s="6"/>
      <c r="B531" s="19">
        <v>528</v>
      </c>
      <c r="C531" s="14"/>
      <c r="D531" s="21">
        <f>NamaPelanggan!D531</f>
        <v>0</v>
      </c>
      <c r="E531" s="14"/>
      <c r="F531" s="16"/>
      <c r="G531" s="16"/>
      <c r="H531" s="16"/>
      <c r="I531" s="16"/>
      <c r="J531" s="16"/>
      <c r="K531" s="16"/>
      <c r="L531" s="14"/>
      <c r="M531" s="16"/>
      <c r="N531" s="14"/>
      <c r="O531" s="6"/>
      <c r="P531" s="6"/>
      <c r="Q531" s="6"/>
    </row>
    <row r="532" spans="1:17" ht="12.75" customHeight="1" x14ac:dyDescent="0.3">
      <c r="A532" s="6"/>
      <c r="B532" s="19">
        <v>529</v>
      </c>
      <c r="C532" s="14"/>
      <c r="D532" s="21">
        <f>NamaPelanggan!D532</f>
        <v>0</v>
      </c>
      <c r="E532" s="14"/>
      <c r="F532" s="16"/>
      <c r="G532" s="16"/>
      <c r="H532" s="16"/>
      <c r="I532" s="16"/>
      <c r="J532" s="16"/>
      <c r="K532" s="16"/>
      <c r="L532" s="14"/>
      <c r="M532" s="16"/>
      <c r="N532" s="14"/>
      <c r="O532" s="6"/>
      <c r="P532" s="6"/>
      <c r="Q532" s="6"/>
    </row>
    <row r="533" spans="1:17" ht="12.75" customHeight="1" x14ac:dyDescent="0.3">
      <c r="A533" s="6"/>
      <c r="B533" s="19">
        <v>530</v>
      </c>
      <c r="C533" s="14"/>
      <c r="D533" s="21">
        <f>NamaPelanggan!D533</f>
        <v>0</v>
      </c>
      <c r="E533" s="14"/>
      <c r="F533" s="16"/>
      <c r="G533" s="16"/>
      <c r="H533" s="16"/>
      <c r="I533" s="16"/>
      <c r="J533" s="16"/>
      <c r="K533" s="16"/>
      <c r="L533" s="14"/>
      <c r="M533" s="16"/>
      <c r="N533" s="14"/>
      <c r="O533" s="6"/>
      <c r="P533" s="6"/>
      <c r="Q533" s="6"/>
    </row>
    <row r="534" spans="1:17" ht="12.75" customHeight="1" x14ac:dyDescent="0.3">
      <c r="A534" s="6"/>
      <c r="B534" s="19">
        <v>531</v>
      </c>
      <c r="C534" s="14"/>
      <c r="D534" s="21">
        <f>NamaPelanggan!D534</f>
        <v>0</v>
      </c>
      <c r="E534" s="14"/>
      <c r="F534" s="16"/>
      <c r="G534" s="16"/>
      <c r="H534" s="16"/>
      <c r="I534" s="16"/>
      <c r="J534" s="16"/>
      <c r="K534" s="16"/>
      <c r="L534" s="14"/>
      <c r="M534" s="16"/>
      <c r="N534" s="14"/>
      <c r="O534" s="6"/>
      <c r="P534" s="6"/>
      <c r="Q534" s="6"/>
    </row>
    <row r="535" spans="1:17" ht="12.75" customHeight="1" x14ac:dyDescent="0.3">
      <c r="A535" s="6"/>
      <c r="B535" s="19">
        <v>532</v>
      </c>
      <c r="C535" s="14"/>
      <c r="D535" s="21">
        <f>NamaPelanggan!D535</f>
        <v>0</v>
      </c>
      <c r="E535" s="14"/>
      <c r="F535" s="16"/>
      <c r="G535" s="16"/>
      <c r="H535" s="16"/>
      <c r="I535" s="16"/>
      <c r="J535" s="16"/>
      <c r="K535" s="16"/>
      <c r="L535" s="14"/>
      <c r="M535" s="16"/>
      <c r="N535" s="14"/>
      <c r="O535" s="6"/>
      <c r="P535" s="6"/>
      <c r="Q535" s="6"/>
    </row>
    <row r="536" spans="1:17" ht="12.75" customHeight="1" x14ac:dyDescent="0.3">
      <c r="A536" s="6"/>
      <c r="B536" s="19">
        <v>533</v>
      </c>
      <c r="C536" s="14"/>
      <c r="D536" s="21">
        <f>NamaPelanggan!D536</f>
        <v>0</v>
      </c>
      <c r="E536" s="14"/>
      <c r="F536" s="16"/>
      <c r="G536" s="16"/>
      <c r="H536" s="16"/>
      <c r="I536" s="16"/>
      <c r="J536" s="16"/>
      <c r="K536" s="16"/>
      <c r="L536" s="14"/>
      <c r="M536" s="16"/>
      <c r="N536" s="14"/>
      <c r="O536" s="6"/>
      <c r="P536" s="6"/>
      <c r="Q536" s="6"/>
    </row>
    <row r="537" spans="1:17" ht="12.75" customHeight="1" x14ac:dyDescent="0.3">
      <c r="A537" s="6"/>
      <c r="B537" s="19">
        <v>534</v>
      </c>
      <c r="C537" s="14"/>
      <c r="D537" s="21">
        <f>NamaPelanggan!D537</f>
        <v>0</v>
      </c>
      <c r="E537" s="14"/>
      <c r="F537" s="16"/>
      <c r="G537" s="16"/>
      <c r="H537" s="16"/>
      <c r="I537" s="16"/>
      <c r="J537" s="16"/>
      <c r="K537" s="16"/>
      <c r="L537" s="14"/>
      <c r="M537" s="16"/>
      <c r="N537" s="14"/>
      <c r="O537" s="6"/>
      <c r="P537" s="6"/>
      <c r="Q537" s="6"/>
    </row>
    <row r="538" spans="1:17" ht="12.75" customHeight="1" x14ac:dyDescent="0.3">
      <c r="A538" s="6"/>
      <c r="B538" s="19">
        <v>535</v>
      </c>
      <c r="C538" s="14"/>
      <c r="D538" s="21">
        <f>NamaPelanggan!D538</f>
        <v>0</v>
      </c>
      <c r="E538" s="14"/>
      <c r="F538" s="16"/>
      <c r="G538" s="16"/>
      <c r="H538" s="16"/>
      <c r="I538" s="16"/>
      <c r="J538" s="16"/>
      <c r="K538" s="16"/>
      <c r="L538" s="14"/>
      <c r="M538" s="16"/>
      <c r="N538" s="14"/>
      <c r="O538" s="6"/>
      <c r="P538" s="6"/>
      <c r="Q538" s="6"/>
    </row>
    <row r="539" spans="1:17" ht="12.75" customHeight="1" x14ac:dyDescent="0.3">
      <c r="A539" s="6"/>
      <c r="B539" s="19">
        <v>536</v>
      </c>
      <c r="C539" s="14"/>
      <c r="D539" s="21">
        <f>NamaPelanggan!D539</f>
        <v>0</v>
      </c>
      <c r="E539" s="14"/>
      <c r="F539" s="16"/>
      <c r="G539" s="16"/>
      <c r="H539" s="16"/>
      <c r="I539" s="16"/>
      <c r="J539" s="16"/>
      <c r="K539" s="16"/>
      <c r="L539" s="14"/>
      <c r="M539" s="16"/>
      <c r="N539" s="14"/>
      <c r="O539" s="6"/>
      <c r="P539" s="6"/>
      <c r="Q539" s="6"/>
    </row>
    <row r="540" spans="1:17" ht="12.75" customHeight="1" x14ac:dyDescent="0.3">
      <c r="A540" s="6"/>
      <c r="B540" s="19">
        <v>537</v>
      </c>
      <c r="C540" s="14"/>
      <c r="D540" s="21">
        <f>NamaPelanggan!D540</f>
        <v>0</v>
      </c>
      <c r="E540" s="14"/>
      <c r="F540" s="16"/>
      <c r="G540" s="16"/>
      <c r="H540" s="16"/>
      <c r="I540" s="16"/>
      <c r="J540" s="16"/>
      <c r="K540" s="16"/>
      <c r="L540" s="14"/>
      <c r="M540" s="16"/>
      <c r="N540" s="14"/>
      <c r="O540" s="6"/>
      <c r="P540" s="6"/>
      <c r="Q540" s="6"/>
    </row>
    <row r="541" spans="1:17" ht="12.75" customHeight="1" x14ac:dyDescent="0.3">
      <c r="A541" s="6"/>
      <c r="B541" s="19">
        <v>538</v>
      </c>
      <c r="C541" s="14"/>
      <c r="D541" s="21">
        <f>NamaPelanggan!D541</f>
        <v>0</v>
      </c>
      <c r="E541" s="14"/>
      <c r="F541" s="16"/>
      <c r="G541" s="16"/>
      <c r="H541" s="16"/>
      <c r="I541" s="16"/>
      <c r="J541" s="16"/>
      <c r="K541" s="16"/>
      <c r="L541" s="14"/>
      <c r="M541" s="16"/>
      <c r="N541" s="14"/>
      <c r="O541" s="6"/>
      <c r="P541" s="6"/>
      <c r="Q541" s="6"/>
    </row>
    <row r="542" spans="1:17" ht="12.75" customHeight="1" x14ac:dyDescent="0.3">
      <c r="A542" s="6"/>
      <c r="B542" s="19">
        <v>539</v>
      </c>
      <c r="C542" s="14"/>
      <c r="D542" s="21">
        <f>NamaPelanggan!D542</f>
        <v>0</v>
      </c>
      <c r="E542" s="14"/>
      <c r="F542" s="16"/>
      <c r="G542" s="16"/>
      <c r="H542" s="16"/>
      <c r="I542" s="16"/>
      <c r="J542" s="16"/>
      <c r="K542" s="16"/>
      <c r="L542" s="14"/>
      <c r="M542" s="16"/>
      <c r="N542" s="14"/>
      <c r="O542" s="6"/>
      <c r="P542" s="6"/>
      <c r="Q542" s="6"/>
    </row>
    <row r="543" spans="1:17" ht="12.75" customHeight="1" x14ac:dyDescent="0.3">
      <c r="A543" s="6"/>
      <c r="B543" s="19">
        <v>540</v>
      </c>
      <c r="C543" s="14"/>
      <c r="D543" s="21">
        <f>NamaPelanggan!D543</f>
        <v>0</v>
      </c>
      <c r="E543" s="14"/>
      <c r="F543" s="16"/>
      <c r="G543" s="16"/>
      <c r="H543" s="16"/>
      <c r="I543" s="16"/>
      <c r="J543" s="16"/>
      <c r="K543" s="16"/>
      <c r="L543" s="14"/>
      <c r="M543" s="16"/>
      <c r="N543" s="14"/>
      <c r="O543" s="6"/>
      <c r="P543" s="6"/>
      <c r="Q543" s="6"/>
    </row>
    <row r="544" spans="1:17" ht="12.75" customHeight="1" x14ac:dyDescent="0.3">
      <c r="A544" s="6"/>
      <c r="B544" s="19">
        <v>541</v>
      </c>
      <c r="C544" s="14"/>
      <c r="D544" s="21">
        <f>NamaPelanggan!D544</f>
        <v>0</v>
      </c>
      <c r="E544" s="14"/>
      <c r="F544" s="16"/>
      <c r="G544" s="16"/>
      <c r="H544" s="16"/>
      <c r="I544" s="16"/>
      <c r="J544" s="16"/>
      <c r="K544" s="16"/>
      <c r="L544" s="14"/>
      <c r="M544" s="16"/>
      <c r="N544" s="14"/>
      <c r="O544" s="6"/>
      <c r="P544" s="6"/>
      <c r="Q544" s="6"/>
    </row>
    <row r="545" spans="1:17" ht="12.75" customHeight="1" x14ac:dyDescent="0.3">
      <c r="A545" s="6"/>
      <c r="B545" s="19">
        <v>542</v>
      </c>
      <c r="C545" s="14"/>
      <c r="D545" s="21">
        <f>NamaPelanggan!D545</f>
        <v>0</v>
      </c>
      <c r="E545" s="14"/>
      <c r="F545" s="16"/>
      <c r="G545" s="16"/>
      <c r="H545" s="16"/>
      <c r="I545" s="16"/>
      <c r="J545" s="16"/>
      <c r="K545" s="16"/>
      <c r="L545" s="14"/>
      <c r="M545" s="16"/>
      <c r="N545" s="14"/>
      <c r="O545" s="6"/>
      <c r="P545" s="6"/>
      <c r="Q545" s="6"/>
    </row>
    <row r="546" spans="1:17" ht="12.75" customHeight="1" x14ac:dyDescent="0.3">
      <c r="A546" s="6"/>
      <c r="B546" s="19">
        <v>543</v>
      </c>
      <c r="C546" s="14"/>
      <c r="D546" s="21">
        <f>NamaPelanggan!D546</f>
        <v>0</v>
      </c>
      <c r="E546" s="14"/>
      <c r="F546" s="16"/>
      <c r="G546" s="16"/>
      <c r="H546" s="16"/>
      <c r="I546" s="16"/>
      <c r="J546" s="16"/>
      <c r="K546" s="16"/>
      <c r="L546" s="14"/>
      <c r="M546" s="16"/>
      <c r="N546" s="14"/>
      <c r="O546" s="6"/>
      <c r="P546" s="6"/>
      <c r="Q546" s="6"/>
    </row>
    <row r="547" spans="1:17" ht="12.75" customHeight="1" x14ac:dyDescent="0.3">
      <c r="A547" s="6"/>
      <c r="B547" s="19">
        <v>544</v>
      </c>
      <c r="C547" s="14"/>
      <c r="D547" s="21">
        <f>NamaPelanggan!D547</f>
        <v>0</v>
      </c>
      <c r="E547" s="14"/>
      <c r="F547" s="16"/>
      <c r="G547" s="16"/>
      <c r="H547" s="16"/>
      <c r="I547" s="16"/>
      <c r="J547" s="16"/>
      <c r="K547" s="16"/>
      <c r="L547" s="14"/>
      <c r="M547" s="16"/>
      <c r="N547" s="14"/>
      <c r="O547" s="6"/>
      <c r="P547" s="6"/>
      <c r="Q547" s="6"/>
    </row>
    <row r="548" spans="1:17" ht="12.75" customHeight="1" x14ac:dyDescent="0.3">
      <c r="A548" s="6"/>
      <c r="B548" s="19">
        <v>545</v>
      </c>
      <c r="C548" s="14"/>
      <c r="D548" s="21">
        <f>NamaPelanggan!D548</f>
        <v>0</v>
      </c>
      <c r="E548" s="14"/>
      <c r="F548" s="16"/>
      <c r="G548" s="16"/>
      <c r="H548" s="16"/>
      <c r="I548" s="16"/>
      <c r="J548" s="16"/>
      <c r="K548" s="16"/>
      <c r="L548" s="14"/>
      <c r="M548" s="16"/>
      <c r="N548" s="14"/>
      <c r="O548" s="6"/>
      <c r="P548" s="6"/>
      <c r="Q548" s="6"/>
    </row>
    <row r="549" spans="1:17" ht="12.75" customHeight="1" x14ac:dyDescent="0.3">
      <c r="A549" s="6"/>
      <c r="B549" s="19">
        <v>546</v>
      </c>
      <c r="C549" s="14"/>
      <c r="D549" s="21">
        <f>NamaPelanggan!D549</f>
        <v>0</v>
      </c>
      <c r="E549" s="14"/>
      <c r="F549" s="16"/>
      <c r="G549" s="16"/>
      <c r="H549" s="16"/>
      <c r="I549" s="16"/>
      <c r="J549" s="16"/>
      <c r="K549" s="16"/>
      <c r="L549" s="14"/>
      <c r="M549" s="16"/>
      <c r="N549" s="14"/>
      <c r="O549" s="6"/>
      <c r="P549" s="6"/>
      <c r="Q549" s="6"/>
    </row>
    <row r="550" spans="1:17" ht="12.75" customHeight="1" x14ac:dyDescent="0.3">
      <c r="A550" s="6"/>
      <c r="B550" s="19">
        <v>547</v>
      </c>
      <c r="C550" s="14"/>
      <c r="D550" s="21">
        <f>NamaPelanggan!D550</f>
        <v>0</v>
      </c>
      <c r="E550" s="14"/>
      <c r="F550" s="16"/>
      <c r="G550" s="16"/>
      <c r="H550" s="16"/>
      <c r="I550" s="16"/>
      <c r="J550" s="16"/>
      <c r="K550" s="16"/>
      <c r="L550" s="14"/>
      <c r="M550" s="16"/>
      <c r="N550" s="14"/>
      <c r="O550" s="6"/>
      <c r="P550" s="6"/>
      <c r="Q550" s="6"/>
    </row>
    <row r="551" spans="1:17" ht="12.75" customHeight="1" x14ac:dyDescent="0.3">
      <c r="A551" s="6"/>
      <c r="B551" s="19">
        <v>548</v>
      </c>
      <c r="C551" s="14"/>
      <c r="D551" s="21">
        <f>NamaPelanggan!D551</f>
        <v>0</v>
      </c>
      <c r="E551" s="14"/>
      <c r="F551" s="16"/>
      <c r="G551" s="16"/>
      <c r="H551" s="16"/>
      <c r="I551" s="16"/>
      <c r="J551" s="16"/>
      <c r="K551" s="16"/>
      <c r="L551" s="14"/>
      <c r="M551" s="16"/>
      <c r="N551" s="14"/>
      <c r="O551" s="6"/>
      <c r="P551" s="6"/>
      <c r="Q551" s="6"/>
    </row>
    <row r="552" spans="1:17" ht="12.75" customHeight="1" x14ac:dyDescent="0.3">
      <c r="A552" s="6"/>
      <c r="B552" s="19">
        <v>549</v>
      </c>
      <c r="C552" s="14"/>
      <c r="D552" s="21">
        <f>NamaPelanggan!D552</f>
        <v>0</v>
      </c>
      <c r="E552" s="14"/>
      <c r="F552" s="16"/>
      <c r="G552" s="16"/>
      <c r="H552" s="16"/>
      <c r="I552" s="16"/>
      <c r="J552" s="16"/>
      <c r="K552" s="16"/>
      <c r="L552" s="14"/>
      <c r="M552" s="16"/>
      <c r="N552" s="14"/>
      <c r="O552" s="6"/>
      <c r="P552" s="6"/>
      <c r="Q552" s="6"/>
    </row>
    <row r="553" spans="1:17" ht="12.75" customHeight="1" x14ac:dyDescent="0.3">
      <c r="A553" s="6"/>
      <c r="B553" s="19">
        <v>550</v>
      </c>
      <c r="C553" s="14"/>
      <c r="D553" s="21">
        <f>NamaPelanggan!D553</f>
        <v>0</v>
      </c>
      <c r="E553" s="14"/>
      <c r="F553" s="16"/>
      <c r="G553" s="16"/>
      <c r="H553" s="16"/>
      <c r="I553" s="16"/>
      <c r="J553" s="16"/>
      <c r="K553" s="16"/>
      <c r="L553" s="14"/>
      <c r="M553" s="16"/>
      <c r="N553" s="14"/>
      <c r="O553" s="6"/>
      <c r="P553" s="6"/>
      <c r="Q553" s="6"/>
    </row>
    <row r="554" spans="1:17" ht="12.75" customHeight="1" x14ac:dyDescent="0.3">
      <c r="A554" s="6"/>
      <c r="B554" s="19">
        <v>551</v>
      </c>
      <c r="C554" s="14"/>
      <c r="D554" s="21">
        <f>NamaPelanggan!D554</f>
        <v>0</v>
      </c>
      <c r="E554" s="14"/>
      <c r="F554" s="16"/>
      <c r="G554" s="16"/>
      <c r="H554" s="16"/>
      <c r="I554" s="16"/>
      <c r="J554" s="16"/>
      <c r="K554" s="16"/>
      <c r="L554" s="14"/>
      <c r="M554" s="16"/>
      <c r="N554" s="14"/>
      <c r="O554" s="6"/>
      <c r="P554" s="6"/>
      <c r="Q554" s="6"/>
    </row>
    <row r="555" spans="1:17" ht="12.75" customHeight="1" x14ac:dyDescent="0.3">
      <c r="A555" s="6"/>
      <c r="B555" s="19">
        <v>552</v>
      </c>
      <c r="C555" s="14"/>
      <c r="D555" s="21">
        <f>NamaPelanggan!D555</f>
        <v>0</v>
      </c>
      <c r="E555" s="14"/>
      <c r="F555" s="16"/>
      <c r="G555" s="16"/>
      <c r="H555" s="16"/>
      <c r="I555" s="16"/>
      <c r="J555" s="16"/>
      <c r="K555" s="16"/>
      <c r="L555" s="14"/>
      <c r="M555" s="16"/>
      <c r="N555" s="14"/>
      <c r="O555" s="6"/>
      <c r="P555" s="6"/>
      <c r="Q555" s="6"/>
    </row>
    <row r="556" spans="1:17" ht="12.75" customHeight="1" x14ac:dyDescent="0.3">
      <c r="A556" s="6"/>
      <c r="B556" s="19">
        <v>553</v>
      </c>
      <c r="C556" s="14"/>
      <c r="D556" s="21">
        <f>NamaPelanggan!D556</f>
        <v>0</v>
      </c>
      <c r="E556" s="14"/>
      <c r="F556" s="16"/>
      <c r="G556" s="16"/>
      <c r="H556" s="16"/>
      <c r="I556" s="16"/>
      <c r="J556" s="16"/>
      <c r="K556" s="16"/>
      <c r="L556" s="14"/>
      <c r="M556" s="16"/>
      <c r="N556" s="14"/>
      <c r="O556" s="6"/>
      <c r="P556" s="6"/>
      <c r="Q556" s="6"/>
    </row>
    <row r="557" spans="1:17" ht="12.75" customHeight="1" x14ac:dyDescent="0.3">
      <c r="A557" s="6"/>
      <c r="B557" s="19">
        <v>554</v>
      </c>
      <c r="C557" s="14"/>
      <c r="D557" s="21">
        <f>NamaPelanggan!D557</f>
        <v>0</v>
      </c>
      <c r="E557" s="14"/>
      <c r="F557" s="16"/>
      <c r="G557" s="16"/>
      <c r="H557" s="16"/>
      <c r="I557" s="16"/>
      <c r="J557" s="16"/>
      <c r="K557" s="16"/>
      <c r="L557" s="14"/>
      <c r="M557" s="16"/>
      <c r="N557" s="14"/>
      <c r="O557" s="6"/>
      <c r="P557" s="6"/>
      <c r="Q557" s="6"/>
    </row>
    <row r="558" spans="1:17" ht="12.75" customHeight="1" x14ac:dyDescent="0.3">
      <c r="A558" s="6"/>
      <c r="B558" s="19">
        <v>555</v>
      </c>
      <c r="C558" s="14"/>
      <c r="D558" s="21">
        <f>NamaPelanggan!D558</f>
        <v>0</v>
      </c>
      <c r="E558" s="14"/>
      <c r="F558" s="16"/>
      <c r="G558" s="16"/>
      <c r="H558" s="16"/>
      <c r="I558" s="16"/>
      <c r="J558" s="16"/>
      <c r="K558" s="16"/>
      <c r="L558" s="14"/>
      <c r="M558" s="16"/>
      <c r="N558" s="14"/>
      <c r="O558" s="6"/>
      <c r="P558" s="6"/>
      <c r="Q558" s="6"/>
    </row>
    <row r="559" spans="1:17" ht="12.75" customHeight="1" x14ac:dyDescent="0.3">
      <c r="A559" s="6"/>
      <c r="B559" s="19">
        <v>556</v>
      </c>
      <c r="C559" s="14"/>
      <c r="D559" s="21">
        <f>NamaPelanggan!D559</f>
        <v>0</v>
      </c>
      <c r="E559" s="14"/>
      <c r="F559" s="16"/>
      <c r="G559" s="16"/>
      <c r="H559" s="16"/>
      <c r="I559" s="16"/>
      <c r="J559" s="16"/>
      <c r="K559" s="16"/>
      <c r="L559" s="14"/>
      <c r="M559" s="16"/>
      <c r="N559" s="14"/>
      <c r="O559" s="6"/>
      <c r="P559" s="6"/>
      <c r="Q559" s="6"/>
    </row>
    <row r="560" spans="1:17" ht="12.75" customHeight="1" x14ac:dyDescent="0.3">
      <c r="A560" s="6"/>
      <c r="B560" s="19">
        <v>557</v>
      </c>
      <c r="C560" s="14"/>
      <c r="D560" s="21">
        <f>NamaPelanggan!D560</f>
        <v>0</v>
      </c>
      <c r="E560" s="14"/>
      <c r="F560" s="16"/>
      <c r="G560" s="16"/>
      <c r="H560" s="16"/>
      <c r="I560" s="16"/>
      <c r="J560" s="16"/>
      <c r="K560" s="16"/>
      <c r="L560" s="14"/>
      <c r="M560" s="16"/>
      <c r="N560" s="14"/>
      <c r="O560" s="6"/>
      <c r="P560" s="6"/>
      <c r="Q560" s="6"/>
    </row>
    <row r="561" spans="1:17" ht="12.75" customHeight="1" x14ac:dyDescent="0.3">
      <c r="A561" s="6"/>
      <c r="B561" s="19">
        <v>558</v>
      </c>
      <c r="C561" s="14"/>
      <c r="D561" s="21">
        <f>NamaPelanggan!D561</f>
        <v>0</v>
      </c>
      <c r="E561" s="14"/>
      <c r="F561" s="16"/>
      <c r="G561" s="16"/>
      <c r="H561" s="16"/>
      <c r="I561" s="16"/>
      <c r="J561" s="16"/>
      <c r="K561" s="16"/>
      <c r="L561" s="14"/>
      <c r="M561" s="16"/>
      <c r="N561" s="14"/>
      <c r="O561" s="6"/>
      <c r="P561" s="6"/>
      <c r="Q561" s="6"/>
    </row>
    <row r="562" spans="1:17" ht="12.75" customHeight="1" x14ac:dyDescent="0.3">
      <c r="A562" s="6"/>
      <c r="B562" s="19">
        <v>559</v>
      </c>
      <c r="C562" s="14"/>
      <c r="D562" s="21">
        <f>NamaPelanggan!D562</f>
        <v>0</v>
      </c>
      <c r="E562" s="14"/>
      <c r="F562" s="16"/>
      <c r="G562" s="16"/>
      <c r="H562" s="16"/>
      <c r="I562" s="16"/>
      <c r="J562" s="16"/>
      <c r="K562" s="16"/>
      <c r="L562" s="14"/>
      <c r="M562" s="16"/>
      <c r="N562" s="14"/>
      <c r="O562" s="6"/>
      <c r="P562" s="6"/>
      <c r="Q562" s="6"/>
    </row>
    <row r="563" spans="1:17" ht="12.75" customHeight="1" x14ac:dyDescent="0.3">
      <c r="A563" s="6"/>
      <c r="B563" s="19">
        <v>560</v>
      </c>
      <c r="C563" s="14"/>
      <c r="D563" s="21">
        <f>NamaPelanggan!D563</f>
        <v>0</v>
      </c>
      <c r="E563" s="14"/>
      <c r="F563" s="16"/>
      <c r="G563" s="16"/>
      <c r="H563" s="16"/>
      <c r="I563" s="16"/>
      <c r="J563" s="16"/>
      <c r="K563" s="16"/>
      <c r="L563" s="14"/>
      <c r="M563" s="16"/>
      <c r="N563" s="14"/>
      <c r="O563" s="6"/>
      <c r="P563" s="6"/>
      <c r="Q563" s="6"/>
    </row>
    <row r="564" spans="1:17" ht="12.75" customHeight="1" x14ac:dyDescent="0.3">
      <c r="A564" s="6"/>
      <c r="B564" s="19">
        <v>561</v>
      </c>
      <c r="C564" s="14"/>
      <c r="D564" s="21">
        <f>NamaPelanggan!D564</f>
        <v>0</v>
      </c>
      <c r="E564" s="14"/>
      <c r="F564" s="16"/>
      <c r="G564" s="16"/>
      <c r="H564" s="16"/>
      <c r="I564" s="16"/>
      <c r="J564" s="16"/>
      <c r="K564" s="16"/>
      <c r="L564" s="14"/>
      <c r="M564" s="16"/>
      <c r="N564" s="14"/>
      <c r="O564" s="6"/>
      <c r="P564" s="6"/>
      <c r="Q564" s="6"/>
    </row>
    <row r="565" spans="1:17" ht="12.75" customHeight="1" x14ac:dyDescent="0.3">
      <c r="A565" s="6"/>
      <c r="B565" s="19">
        <v>562</v>
      </c>
      <c r="C565" s="14"/>
      <c r="D565" s="21">
        <f>NamaPelanggan!D565</f>
        <v>0</v>
      </c>
      <c r="E565" s="14"/>
      <c r="F565" s="16"/>
      <c r="G565" s="16"/>
      <c r="H565" s="16"/>
      <c r="I565" s="16"/>
      <c r="J565" s="16"/>
      <c r="K565" s="16"/>
      <c r="L565" s="14"/>
      <c r="M565" s="16"/>
      <c r="N565" s="14"/>
      <c r="O565" s="6"/>
      <c r="P565" s="6"/>
      <c r="Q565" s="6"/>
    </row>
    <row r="566" spans="1:17" ht="12.75" customHeight="1" x14ac:dyDescent="0.3">
      <c r="A566" s="6"/>
      <c r="B566" s="19">
        <v>563</v>
      </c>
      <c r="C566" s="14"/>
      <c r="D566" s="21">
        <f>NamaPelanggan!D566</f>
        <v>0</v>
      </c>
      <c r="E566" s="14"/>
      <c r="F566" s="16"/>
      <c r="G566" s="16"/>
      <c r="H566" s="16"/>
      <c r="I566" s="16"/>
      <c r="J566" s="16"/>
      <c r="K566" s="16"/>
      <c r="L566" s="14"/>
      <c r="M566" s="16"/>
      <c r="N566" s="14"/>
      <c r="O566" s="6"/>
      <c r="P566" s="6"/>
      <c r="Q566" s="6"/>
    </row>
    <row r="567" spans="1:17" ht="12.75" customHeight="1" x14ac:dyDescent="0.3">
      <c r="A567" s="6"/>
      <c r="B567" s="19">
        <v>564</v>
      </c>
      <c r="C567" s="14"/>
      <c r="D567" s="21">
        <f>NamaPelanggan!D567</f>
        <v>0</v>
      </c>
      <c r="E567" s="14"/>
      <c r="F567" s="16"/>
      <c r="G567" s="16"/>
      <c r="H567" s="16"/>
      <c r="I567" s="16"/>
      <c r="J567" s="16"/>
      <c r="K567" s="16"/>
      <c r="L567" s="14"/>
      <c r="M567" s="16"/>
      <c r="N567" s="14"/>
      <c r="O567" s="6"/>
      <c r="P567" s="6"/>
      <c r="Q567" s="6"/>
    </row>
    <row r="568" spans="1:17" ht="12.75" customHeight="1" x14ac:dyDescent="0.3">
      <c r="A568" s="6"/>
      <c r="B568" s="19">
        <v>565</v>
      </c>
      <c r="C568" s="14"/>
      <c r="D568" s="21">
        <f>NamaPelanggan!D568</f>
        <v>0</v>
      </c>
      <c r="E568" s="14"/>
      <c r="F568" s="16"/>
      <c r="G568" s="16"/>
      <c r="H568" s="16"/>
      <c r="I568" s="16"/>
      <c r="J568" s="16"/>
      <c r="K568" s="16"/>
      <c r="L568" s="14"/>
      <c r="M568" s="16"/>
      <c r="N568" s="14"/>
      <c r="O568" s="6"/>
      <c r="P568" s="6"/>
      <c r="Q568" s="6"/>
    </row>
    <row r="569" spans="1:17" ht="12.75" customHeight="1" x14ac:dyDescent="0.3">
      <c r="A569" s="6"/>
      <c r="B569" s="19">
        <v>566</v>
      </c>
      <c r="C569" s="14"/>
      <c r="D569" s="21">
        <f>NamaPelanggan!D569</f>
        <v>0</v>
      </c>
      <c r="E569" s="14"/>
      <c r="F569" s="16"/>
      <c r="G569" s="16"/>
      <c r="H569" s="16"/>
      <c r="I569" s="16"/>
      <c r="J569" s="16"/>
      <c r="K569" s="16"/>
      <c r="L569" s="14"/>
      <c r="M569" s="16"/>
      <c r="N569" s="14"/>
      <c r="O569" s="6"/>
      <c r="P569" s="6"/>
      <c r="Q569" s="6"/>
    </row>
    <row r="570" spans="1:17" ht="12.75" customHeight="1" x14ac:dyDescent="0.3">
      <c r="A570" s="6"/>
      <c r="B570" s="19">
        <v>567</v>
      </c>
      <c r="C570" s="14"/>
      <c r="D570" s="21">
        <f>NamaPelanggan!D570</f>
        <v>0</v>
      </c>
      <c r="E570" s="14"/>
      <c r="F570" s="16"/>
      <c r="G570" s="16"/>
      <c r="H570" s="16"/>
      <c r="I570" s="16"/>
      <c r="J570" s="16"/>
      <c r="K570" s="16"/>
      <c r="L570" s="14"/>
      <c r="M570" s="16"/>
      <c r="N570" s="14"/>
      <c r="O570" s="6"/>
      <c r="P570" s="6"/>
      <c r="Q570" s="6"/>
    </row>
    <row r="571" spans="1:17" ht="12.75" customHeight="1" x14ac:dyDescent="0.3">
      <c r="A571" s="6"/>
      <c r="B571" s="19">
        <v>568</v>
      </c>
      <c r="C571" s="14"/>
      <c r="D571" s="21">
        <f>NamaPelanggan!D571</f>
        <v>0</v>
      </c>
      <c r="E571" s="14"/>
      <c r="F571" s="16"/>
      <c r="G571" s="16"/>
      <c r="H571" s="16"/>
      <c r="I571" s="16"/>
      <c r="J571" s="16"/>
      <c r="K571" s="16"/>
      <c r="L571" s="14"/>
      <c r="M571" s="16"/>
      <c r="N571" s="14"/>
      <c r="O571" s="6"/>
      <c r="P571" s="6"/>
      <c r="Q571" s="6"/>
    </row>
    <row r="572" spans="1:17" ht="12.75" customHeight="1" x14ac:dyDescent="0.3">
      <c r="A572" s="6"/>
      <c r="B572" s="19">
        <v>569</v>
      </c>
      <c r="C572" s="14"/>
      <c r="D572" s="21">
        <f>NamaPelanggan!D572</f>
        <v>0</v>
      </c>
      <c r="E572" s="14"/>
      <c r="F572" s="16"/>
      <c r="G572" s="16"/>
      <c r="H572" s="16"/>
      <c r="I572" s="16"/>
      <c r="J572" s="16"/>
      <c r="K572" s="16"/>
      <c r="L572" s="14"/>
      <c r="M572" s="16"/>
      <c r="N572" s="14"/>
      <c r="O572" s="6"/>
      <c r="P572" s="6"/>
      <c r="Q572" s="6"/>
    </row>
    <row r="573" spans="1:17" ht="12.75" customHeight="1" x14ac:dyDescent="0.3">
      <c r="A573" s="6"/>
      <c r="B573" s="19">
        <v>570</v>
      </c>
      <c r="C573" s="14"/>
      <c r="D573" s="21">
        <f>NamaPelanggan!D573</f>
        <v>0</v>
      </c>
      <c r="E573" s="14"/>
      <c r="F573" s="16"/>
      <c r="G573" s="16"/>
      <c r="H573" s="16"/>
      <c r="I573" s="16"/>
      <c r="J573" s="16"/>
      <c r="K573" s="16"/>
      <c r="L573" s="14"/>
      <c r="M573" s="16"/>
      <c r="N573" s="14"/>
      <c r="O573" s="6"/>
      <c r="P573" s="6"/>
      <c r="Q573" s="6"/>
    </row>
    <row r="574" spans="1:17" ht="12.75" customHeight="1" x14ac:dyDescent="0.3">
      <c r="A574" s="6"/>
      <c r="B574" s="19">
        <v>571</v>
      </c>
      <c r="C574" s="14"/>
      <c r="D574" s="21">
        <f>NamaPelanggan!D574</f>
        <v>0</v>
      </c>
      <c r="E574" s="14"/>
      <c r="F574" s="16"/>
      <c r="G574" s="16"/>
      <c r="H574" s="16"/>
      <c r="I574" s="16"/>
      <c r="J574" s="16"/>
      <c r="K574" s="16"/>
      <c r="L574" s="14"/>
      <c r="M574" s="16"/>
      <c r="N574" s="14"/>
      <c r="O574" s="6"/>
      <c r="P574" s="6"/>
      <c r="Q574" s="6"/>
    </row>
    <row r="575" spans="1:17" ht="12.75" customHeight="1" x14ac:dyDescent="0.3">
      <c r="A575" s="6"/>
      <c r="B575" s="19">
        <v>572</v>
      </c>
      <c r="C575" s="14"/>
      <c r="D575" s="21">
        <f>NamaPelanggan!D575</f>
        <v>0</v>
      </c>
      <c r="E575" s="14"/>
      <c r="F575" s="16"/>
      <c r="G575" s="16"/>
      <c r="H575" s="16"/>
      <c r="I575" s="16"/>
      <c r="J575" s="16"/>
      <c r="K575" s="16"/>
      <c r="L575" s="14"/>
      <c r="M575" s="16"/>
      <c r="N575" s="14"/>
      <c r="O575" s="6"/>
      <c r="P575" s="6"/>
      <c r="Q575" s="6"/>
    </row>
    <row r="576" spans="1:17" ht="12.75" customHeight="1" x14ac:dyDescent="0.3">
      <c r="A576" s="6"/>
      <c r="B576" s="19">
        <v>573</v>
      </c>
      <c r="C576" s="14"/>
      <c r="D576" s="21">
        <f>NamaPelanggan!D576</f>
        <v>0</v>
      </c>
      <c r="E576" s="14"/>
      <c r="F576" s="16"/>
      <c r="G576" s="16"/>
      <c r="H576" s="16"/>
      <c r="I576" s="16"/>
      <c r="J576" s="16"/>
      <c r="K576" s="16"/>
      <c r="L576" s="14"/>
      <c r="M576" s="16"/>
      <c r="N576" s="14"/>
      <c r="O576" s="6"/>
      <c r="P576" s="6"/>
      <c r="Q576" s="6"/>
    </row>
    <row r="577" spans="1:17" ht="12.75" customHeight="1" x14ac:dyDescent="0.3">
      <c r="A577" s="6"/>
      <c r="B577" s="19">
        <v>574</v>
      </c>
      <c r="C577" s="14"/>
      <c r="D577" s="21">
        <f>NamaPelanggan!D577</f>
        <v>0</v>
      </c>
      <c r="E577" s="14"/>
      <c r="F577" s="16"/>
      <c r="G577" s="16"/>
      <c r="H577" s="16"/>
      <c r="I577" s="16"/>
      <c r="J577" s="16"/>
      <c r="K577" s="16"/>
      <c r="L577" s="14"/>
      <c r="M577" s="16"/>
      <c r="N577" s="14"/>
      <c r="O577" s="6"/>
      <c r="P577" s="6"/>
      <c r="Q577" s="6"/>
    </row>
    <row r="578" spans="1:17" ht="12.75" customHeight="1" x14ac:dyDescent="0.3">
      <c r="A578" s="6"/>
      <c r="B578" s="19">
        <v>575</v>
      </c>
      <c r="C578" s="14"/>
      <c r="D578" s="21">
        <f>NamaPelanggan!D578</f>
        <v>0</v>
      </c>
      <c r="E578" s="14"/>
      <c r="F578" s="16"/>
      <c r="G578" s="16"/>
      <c r="H578" s="16"/>
      <c r="I578" s="16"/>
      <c r="J578" s="16"/>
      <c r="K578" s="16"/>
      <c r="L578" s="14"/>
      <c r="M578" s="16"/>
      <c r="N578" s="14"/>
      <c r="O578" s="6"/>
      <c r="P578" s="6"/>
      <c r="Q578" s="6"/>
    </row>
    <row r="579" spans="1:17" ht="12.75" customHeight="1" x14ac:dyDescent="0.3">
      <c r="A579" s="6"/>
      <c r="B579" s="19">
        <v>576</v>
      </c>
      <c r="C579" s="14"/>
      <c r="D579" s="21">
        <f>NamaPelanggan!D579</f>
        <v>0</v>
      </c>
      <c r="E579" s="14"/>
      <c r="F579" s="16"/>
      <c r="G579" s="16"/>
      <c r="H579" s="16"/>
      <c r="I579" s="16"/>
      <c r="J579" s="16"/>
      <c r="K579" s="16"/>
      <c r="L579" s="14"/>
      <c r="M579" s="16"/>
      <c r="N579" s="14"/>
      <c r="O579" s="6"/>
      <c r="P579" s="6"/>
      <c r="Q579" s="6"/>
    </row>
    <row r="580" spans="1:17" ht="12.75" customHeight="1" x14ac:dyDescent="0.3">
      <c r="A580" s="6"/>
      <c r="B580" s="19">
        <v>577</v>
      </c>
      <c r="C580" s="14"/>
      <c r="D580" s="21">
        <f>NamaPelanggan!D580</f>
        <v>0</v>
      </c>
      <c r="E580" s="14"/>
      <c r="F580" s="16"/>
      <c r="G580" s="16"/>
      <c r="H580" s="16"/>
      <c r="I580" s="16"/>
      <c r="J580" s="16"/>
      <c r="K580" s="16"/>
      <c r="L580" s="14"/>
      <c r="M580" s="16"/>
      <c r="N580" s="14"/>
      <c r="O580" s="6"/>
      <c r="P580" s="6"/>
      <c r="Q580" s="6"/>
    </row>
    <row r="581" spans="1:17" ht="12.75" customHeight="1" x14ac:dyDescent="0.3">
      <c r="A581" s="6"/>
      <c r="B581" s="19">
        <v>578</v>
      </c>
      <c r="C581" s="14"/>
      <c r="D581" s="21">
        <f>NamaPelanggan!D581</f>
        <v>0</v>
      </c>
      <c r="E581" s="14"/>
      <c r="F581" s="16"/>
      <c r="G581" s="16"/>
      <c r="H581" s="16"/>
      <c r="I581" s="16"/>
      <c r="J581" s="16"/>
      <c r="K581" s="16"/>
      <c r="L581" s="14"/>
      <c r="M581" s="16"/>
      <c r="N581" s="14"/>
      <c r="O581" s="6"/>
      <c r="P581" s="6"/>
      <c r="Q581" s="6"/>
    </row>
    <row r="582" spans="1:17" ht="12.75" customHeight="1" x14ac:dyDescent="0.3">
      <c r="A582" s="6"/>
      <c r="B582" s="19">
        <v>579</v>
      </c>
      <c r="C582" s="14"/>
      <c r="D582" s="21">
        <f>NamaPelanggan!D582</f>
        <v>0</v>
      </c>
      <c r="E582" s="14"/>
      <c r="F582" s="16"/>
      <c r="G582" s="16"/>
      <c r="H582" s="16"/>
      <c r="I582" s="16"/>
      <c r="J582" s="16"/>
      <c r="K582" s="16"/>
      <c r="L582" s="14"/>
      <c r="M582" s="16"/>
      <c r="N582" s="14"/>
      <c r="O582" s="6"/>
      <c r="P582" s="6"/>
      <c r="Q582" s="6"/>
    </row>
    <row r="583" spans="1:17" ht="12.75" customHeight="1" x14ac:dyDescent="0.3">
      <c r="A583" s="6"/>
      <c r="B583" s="19">
        <v>580</v>
      </c>
      <c r="C583" s="14"/>
      <c r="D583" s="21">
        <f>NamaPelanggan!D583</f>
        <v>0</v>
      </c>
      <c r="E583" s="14"/>
      <c r="F583" s="16"/>
      <c r="G583" s="16"/>
      <c r="H583" s="16"/>
      <c r="I583" s="16"/>
      <c r="J583" s="16"/>
      <c r="K583" s="16"/>
      <c r="L583" s="14"/>
      <c r="M583" s="16"/>
      <c r="N583" s="14"/>
      <c r="O583" s="6"/>
      <c r="P583" s="6"/>
      <c r="Q583" s="6"/>
    </row>
    <row r="584" spans="1:17" ht="12.75" customHeight="1" x14ac:dyDescent="0.3">
      <c r="A584" s="6"/>
      <c r="B584" s="19">
        <v>581</v>
      </c>
      <c r="C584" s="14"/>
      <c r="D584" s="21">
        <f>NamaPelanggan!D584</f>
        <v>0</v>
      </c>
      <c r="E584" s="14"/>
      <c r="F584" s="16"/>
      <c r="G584" s="16"/>
      <c r="H584" s="16"/>
      <c r="I584" s="16"/>
      <c r="J584" s="16"/>
      <c r="K584" s="16"/>
      <c r="L584" s="14"/>
      <c r="M584" s="16"/>
      <c r="N584" s="14"/>
      <c r="O584" s="6"/>
      <c r="P584" s="6"/>
      <c r="Q584" s="6"/>
    </row>
    <row r="585" spans="1:17" ht="12.75" customHeight="1" x14ac:dyDescent="0.3">
      <c r="A585" s="6"/>
      <c r="B585" s="19">
        <v>582</v>
      </c>
      <c r="C585" s="14"/>
      <c r="D585" s="21">
        <f>NamaPelanggan!D585</f>
        <v>0</v>
      </c>
      <c r="E585" s="14"/>
      <c r="F585" s="16"/>
      <c r="G585" s="16"/>
      <c r="H585" s="16"/>
      <c r="I585" s="16"/>
      <c r="J585" s="16"/>
      <c r="K585" s="16"/>
      <c r="L585" s="14"/>
      <c r="M585" s="16"/>
      <c r="N585" s="14"/>
      <c r="O585" s="6"/>
      <c r="P585" s="6"/>
      <c r="Q585" s="6"/>
    </row>
    <row r="586" spans="1:17" ht="12.75" customHeight="1" x14ac:dyDescent="0.3">
      <c r="A586" s="6"/>
      <c r="B586" s="19">
        <v>583</v>
      </c>
      <c r="C586" s="14"/>
      <c r="D586" s="21">
        <f>NamaPelanggan!D586</f>
        <v>0</v>
      </c>
      <c r="E586" s="14"/>
      <c r="F586" s="16"/>
      <c r="G586" s="16"/>
      <c r="H586" s="16"/>
      <c r="I586" s="16"/>
      <c r="J586" s="16"/>
      <c r="K586" s="16"/>
      <c r="L586" s="14"/>
      <c r="M586" s="16"/>
      <c r="N586" s="14"/>
      <c r="O586" s="6"/>
      <c r="P586" s="6"/>
      <c r="Q586" s="6"/>
    </row>
    <row r="587" spans="1:17" ht="12.75" customHeight="1" x14ac:dyDescent="0.3">
      <c r="A587" s="6"/>
      <c r="B587" s="19">
        <v>584</v>
      </c>
      <c r="C587" s="14"/>
      <c r="D587" s="21">
        <f>NamaPelanggan!D587</f>
        <v>0</v>
      </c>
      <c r="E587" s="14"/>
      <c r="F587" s="16"/>
      <c r="G587" s="16"/>
      <c r="H587" s="16"/>
      <c r="I587" s="16"/>
      <c r="J587" s="16"/>
      <c r="K587" s="16"/>
      <c r="L587" s="14"/>
      <c r="M587" s="16"/>
      <c r="N587" s="14"/>
      <c r="O587" s="6"/>
      <c r="P587" s="6"/>
      <c r="Q587" s="6"/>
    </row>
    <row r="588" spans="1:17" ht="12.75" customHeight="1" x14ac:dyDescent="0.3">
      <c r="A588" s="6"/>
      <c r="B588" s="19">
        <v>585</v>
      </c>
      <c r="C588" s="14"/>
      <c r="D588" s="21">
        <f>NamaPelanggan!D588</f>
        <v>0</v>
      </c>
      <c r="E588" s="14"/>
      <c r="F588" s="16"/>
      <c r="G588" s="16"/>
      <c r="H588" s="16"/>
      <c r="I588" s="16"/>
      <c r="J588" s="16"/>
      <c r="K588" s="16"/>
      <c r="L588" s="14"/>
      <c r="M588" s="16"/>
      <c r="N588" s="14"/>
      <c r="O588" s="6"/>
      <c r="P588" s="6"/>
      <c r="Q588" s="6"/>
    </row>
    <row r="589" spans="1:17" ht="12.75" customHeight="1" x14ac:dyDescent="0.3">
      <c r="A589" s="6"/>
      <c r="B589" s="19">
        <v>586</v>
      </c>
      <c r="C589" s="14"/>
      <c r="D589" s="21">
        <f>NamaPelanggan!D589</f>
        <v>0</v>
      </c>
      <c r="E589" s="14"/>
      <c r="F589" s="16"/>
      <c r="G589" s="16"/>
      <c r="H589" s="16"/>
      <c r="I589" s="16"/>
      <c r="J589" s="16"/>
      <c r="K589" s="16"/>
      <c r="L589" s="14"/>
      <c r="M589" s="16"/>
      <c r="N589" s="14"/>
      <c r="O589" s="6"/>
      <c r="P589" s="6"/>
      <c r="Q589" s="6"/>
    </row>
    <row r="590" spans="1:17" ht="12.75" customHeight="1" x14ac:dyDescent="0.3">
      <c r="A590" s="6"/>
      <c r="B590" s="19">
        <v>587</v>
      </c>
      <c r="C590" s="14"/>
      <c r="D590" s="21">
        <f>NamaPelanggan!D590</f>
        <v>0</v>
      </c>
      <c r="E590" s="14"/>
      <c r="F590" s="16"/>
      <c r="G590" s="16"/>
      <c r="H590" s="16"/>
      <c r="I590" s="16"/>
      <c r="J590" s="16"/>
      <c r="K590" s="16"/>
      <c r="L590" s="14"/>
      <c r="M590" s="16"/>
      <c r="N590" s="14"/>
      <c r="O590" s="6"/>
      <c r="P590" s="6"/>
      <c r="Q590" s="6"/>
    </row>
    <row r="591" spans="1:17" ht="12.75" customHeight="1" x14ac:dyDescent="0.3">
      <c r="A591" s="6"/>
      <c r="B591" s="19">
        <v>588</v>
      </c>
      <c r="C591" s="14"/>
      <c r="D591" s="21">
        <f>NamaPelanggan!D591</f>
        <v>0</v>
      </c>
      <c r="E591" s="14"/>
      <c r="F591" s="16"/>
      <c r="G591" s="16"/>
      <c r="H591" s="16"/>
      <c r="I591" s="16"/>
      <c r="J591" s="16"/>
      <c r="K591" s="16"/>
      <c r="L591" s="14"/>
      <c r="M591" s="16"/>
      <c r="N591" s="14"/>
      <c r="O591" s="6"/>
      <c r="P591" s="6"/>
      <c r="Q591" s="6"/>
    </row>
    <row r="592" spans="1:17" ht="12.75" customHeight="1" x14ac:dyDescent="0.3">
      <c r="A592" s="6"/>
      <c r="B592" s="19">
        <v>589</v>
      </c>
      <c r="C592" s="14"/>
      <c r="D592" s="21">
        <f>NamaPelanggan!D592</f>
        <v>0</v>
      </c>
      <c r="E592" s="14"/>
      <c r="F592" s="16"/>
      <c r="G592" s="16"/>
      <c r="H592" s="16"/>
      <c r="I592" s="16"/>
      <c r="J592" s="16"/>
      <c r="K592" s="16"/>
      <c r="L592" s="14"/>
      <c r="M592" s="16"/>
      <c r="N592" s="14"/>
      <c r="O592" s="6"/>
      <c r="P592" s="6"/>
      <c r="Q592" s="6"/>
    </row>
    <row r="593" spans="1:17" ht="12.75" customHeight="1" x14ac:dyDescent="0.3">
      <c r="A593" s="6"/>
      <c r="B593" s="19">
        <v>590</v>
      </c>
      <c r="C593" s="14"/>
      <c r="D593" s="21">
        <f>NamaPelanggan!D593</f>
        <v>0</v>
      </c>
      <c r="E593" s="14"/>
      <c r="F593" s="16"/>
      <c r="G593" s="16"/>
      <c r="H593" s="16"/>
      <c r="I593" s="16"/>
      <c r="J593" s="16"/>
      <c r="K593" s="16"/>
      <c r="L593" s="14"/>
      <c r="M593" s="16"/>
      <c r="N593" s="14"/>
      <c r="O593" s="6"/>
      <c r="P593" s="6"/>
      <c r="Q593" s="6"/>
    </row>
    <row r="594" spans="1:17" ht="12.75" customHeight="1" x14ac:dyDescent="0.3">
      <c r="A594" s="6"/>
      <c r="B594" s="19">
        <v>591</v>
      </c>
      <c r="C594" s="14"/>
      <c r="D594" s="21">
        <f>NamaPelanggan!D594</f>
        <v>0</v>
      </c>
      <c r="E594" s="14"/>
      <c r="F594" s="16"/>
      <c r="G594" s="16"/>
      <c r="H594" s="16"/>
      <c r="I594" s="16"/>
      <c r="J594" s="16"/>
      <c r="K594" s="16"/>
      <c r="L594" s="14"/>
      <c r="M594" s="16"/>
      <c r="N594" s="14"/>
      <c r="O594" s="6"/>
      <c r="P594" s="6"/>
      <c r="Q594" s="6"/>
    </row>
    <row r="595" spans="1:17" ht="12.75" customHeight="1" x14ac:dyDescent="0.3">
      <c r="A595" s="6"/>
      <c r="B595" s="19">
        <v>592</v>
      </c>
      <c r="C595" s="14"/>
      <c r="D595" s="21">
        <f>NamaPelanggan!D595</f>
        <v>0</v>
      </c>
      <c r="E595" s="14"/>
      <c r="F595" s="16"/>
      <c r="G595" s="16"/>
      <c r="H595" s="16"/>
      <c r="I595" s="16"/>
      <c r="J595" s="16"/>
      <c r="K595" s="16"/>
      <c r="L595" s="14"/>
      <c r="M595" s="16"/>
      <c r="N595" s="14"/>
      <c r="O595" s="6"/>
      <c r="P595" s="6"/>
      <c r="Q595" s="6"/>
    </row>
    <row r="596" spans="1:17" ht="12.75" customHeight="1" x14ac:dyDescent="0.3">
      <c r="A596" s="6"/>
      <c r="B596" s="19">
        <v>593</v>
      </c>
      <c r="C596" s="14"/>
      <c r="D596" s="21">
        <f>NamaPelanggan!D596</f>
        <v>0</v>
      </c>
      <c r="E596" s="14"/>
      <c r="F596" s="16"/>
      <c r="G596" s="16"/>
      <c r="H596" s="16"/>
      <c r="I596" s="16"/>
      <c r="J596" s="16"/>
      <c r="K596" s="16"/>
      <c r="L596" s="14"/>
      <c r="M596" s="16"/>
      <c r="N596" s="14"/>
      <c r="O596" s="6"/>
      <c r="P596" s="6"/>
      <c r="Q596" s="6"/>
    </row>
    <row r="597" spans="1:17" ht="12.75" customHeight="1" x14ac:dyDescent="0.3">
      <c r="A597" s="6"/>
      <c r="B597" s="19">
        <v>594</v>
      </c>
      <c r="C597" s="14"/>
      <c r="D597" s="21">
        <f>NamaPelanggan!D597</f>
        <v>0</v>
      </c>
      <c r="E597" s="14"/>
      <c r="F597" s="16"/>
      <c r="G597" s="16"/>
      <c r="H597" s="16"/>
      <c r="I597" s="16"/>
      <c r="J597" s="16"/>
      <c r="K597" s="16"/>
      <c r="L597" s="14"/>
      <c r="M597" s="16"/>
      <c r="N597" s="14"/>
      <c r="O597" s="6"/>
      <c r="P597" s="6"/>
      <c r="Q597" s="6"/>
    </row>
    <row r="598" spans="1:17" ht="12.75" customHeight="1" x14ac:dyDescent="0.3">
      <c r="A598" s="6"/>
      <c r="B598" s="19">
        <v>595</v>
      </c>
      <c r="C598" s="14"/>
      <c r="D598" s="21">
        <f>NamaPelanggan!D598</f>
        <v>0</v>
      </c>
      <c r="E598" s="14"/>
      <c r="F598" s="16"/>
      <c r="G598" s="16"/>
      <c r="H598" s="16"/>
      <c r="I598" s="16"/>
      <c r="J598" s="16"/>
      <c r="K598" s="16"/>
      <c r="L598" s="14"/>
      <c r="M598" s="16"/>
      <c r="N598" s="14"/>
      <c r="O598" s="6"/>
      <c r="P598" s="6"/>
      <c r="Q598" s="6"/>
    </row>
    <row r="599" spans="1:17" ht="12.75" customHeight="1" x14ac:dyDescent="0.3">
      <c r="A599" s="6"/>
      <c r="B599" s="19">
        <v>596</v>
      </c>
      <c r="C599" s="14"/>
      <c r="D599" s="21">
        <f>NamaPelanggan!D599</f>
        <v>0</v>
      </c>
      <c r="E599" s="14"/>
      <c r="F599" s="16"/>
      <c r="G599" s="16"/>
      <c r="H599" s="16"/>
      <c r="I599" s="16"/>
      <c r="J599" s="16"/>
      <c r="K599" s="16"/>
      <c r="L599" s="14"/>
      <c r="M599" s="16"/>
      <c r="N599" s="14"/>
      <c r="O599" s="6"/>
      <c r="P599" s="6"/>
      <c r="Q599" s="6"/>
    </row>
    <row r="600" spans="1:17" ht="12.75" customHeight="1" x14ac:dyDescent="0.3">
      <c r="A600" s="6"/>
      <c r="B600" s="19">
        <v>597</v>
      </c>
      <c r="C600" s="14"/>
      <c r="D600" s="21">
        <f>NamaPelanggan!D600</f>
        <v>0</v>
      </c>
      <c r="E600" s="14"/>
      <c r="F600" s="16"/>
      <c r="G600" s="16"/>
      <c r="H600" s="16"/>
      <c r="I600" s="16"/>
      <c r="J600" s="16"/>
      <c r="K600" s="16"/>
      <c r="L600" s="14"/>
      <c r="M600" s="16"/>
      <c r="N600" s="14"/>
      <c r="O600" s="6"/>
      <c r="P600" s="6"/>
      <c r="Q600" s="6"/>
    </row>
    <row r="601" spans="1:17" ht="12.75" customHeight="1" x14ac:dyDescent="0.3">
      <c r="A601" s="6"/>
      <c r="B601" s="19">
        <v>598</v>
      </c>
      <c r="C601" s="14"/>
      <c r="D601" s="21">
        <f>NamaPelanggan!D601</f>
        <v>0</v>
      </c>
      <c r="E601" s="14"/>
      <c r="F601" s="16"/>
      <c r="G601" s="16"/>
      <c r="H601" s="16"/>
      <c r="I601" s="16"/>
      <c r="J601" s="16"/>
      <c r="K601" s="16"/>
      <c r="L601" s="14"/>
      <c r="M601" s="16"/>
      <c r="N601" s="14"/>
      <c r="O601" s="6"/>
      <c r="P601" s="6"/>
      <c r="Q601" s="6"/>
    </row>
    <row r="602" spans="1:17" ht="12.75" customHeight="1" x14ac:dyDescent="0.3">
      <c r="A602" s="6"/>
      <c r="B602" s="19">
        <v>599</v>
      </c>
      <c r="C602" s="14"/>
      <c r="D602" s="21">
        <f>NamaPelanggan!D602</f>
        <v>0</v>
      </c>
      <c r="E602" s="14"/>
      <c r="F602" s="16"/>
      <c r="G602" s="16"/>
      <c r="H602" s="16"/>
      <c r="I602" s="16"/>
      <c r="J602" s="16"/>
      <c r="K602" s="16"/>
      <c r="L602" s="14"/>
      <c r="M602" s="16"/>
      <c r="N602" s="14"/>
      <c r="O602" s="6"/>
      <c r="P602" s="6"/>
      <c r="Q602" s="6"/>
    </row>
    <row r="603" spans="1:17" ht="12.75" customHeight="1" x14ac:dyDescent="0.3">
      <c r="A603" s="6"/>
      <c r="B603" s="19">
        <v>600</v>
      </c>
      <c r="C603" s="14"/>
      <c r="D603" s="21">
        <f>NamaPelanggan!D603</f>
        <v>0</v>
      </c>
      <c r="E603" s="14"/>
      <c r="F603" s="16"/>
      <c r="G603" s="16"/>
      <c r="H603" s="16"/>
      <c r="I603" s="16"/>
      <c r="J603" s="16"/>
      <c r="K603" s="16"/>
      <c r="L603" s="14"/>
      <c r="M603" s="16"/>
      <c r="N603" s="14"/>
      <c r="O603" s="6"/>
      <c r="P603" s="6"/>
      <c r="Q603" s="6"/>
    </row>
    <row r="604" spans="1:17" ht="12.75" customHeight="1" x14ac:dyDescent="0.3">
      <c r="A604" s="6"/>
      <c r="B604" s="19">
        <v>601</v>
      </c>
      <c r="C604" s="14"/>
      <c r="D604" s="21">
        <f>NamaPelanggan!D604</f>
        <v>0</v>
      </c>
      <c r="E604" s="14"/>
      <c r="F604" s="16"/>
      <c r="G604" s="16"/>
      <c r="H604" s="16"/>
      <c r="I604" s="16"/>
      <c r="J604" s="16"/>
      <c r="K604" s="16"/>
      <c r="L604" s="14"/>
      <c r="M604" s="16"/>
      <c r="N604" s="14"/>
      <c r="O604" s="6"/>
      <c r="P604" s="6"/>
      <c r="Q604" s="6"/>
    </row>
    <row r="605" spans="1:17" ht="12.75" customHeight="1" x14ac:dyDescent="0.3">
      <c r="A605" s="6"/>
      <c r="B605" s="19">
        <v>602</v>
      </c>
      <c r="C605" s="14"/>
      <c r="D605" s="21">
        <f>NamaPelanggan!D605</f>
        <v>0</v>
      </c>
      <c r="E605" s="14"/>
      <c r="F605" s="16"/>
      <c r="G605" s="16"/>
      <c r="H605" s="16"/>
      <c r="I605" s="16"/>
      <c r="J605" s="16"/>
      <c r="K605" s="16"/>
      <c r="L605" s="14"/>
      <c r="M605" s="16"/>
      <c r="N605" s="14"/>
      <c r="O605" s="6"/>
      <c r="P605" s="6"/>
      <c r="Q605" s="6"/>
    </row>
    <row r="606" spans="1:17" ht="12.75" customHeight="1" x14ac:dyDescent="0.3">
      <c r="A606" s="6"/>
      <c r="B606" s="19">
        <v>603</v>
      </c>
      <c r="C606" s="14"/>
      <c r="D606" s="21">
        <f>NamaPelanggan!D606</f>
        <v>0</v>
      </c>
      <c r="E606" s="14"/>
      <c r="F606" s="16"/>
      <c r="G606" s="16"/>
      <c r="H606" s="16"/>
      <c r="I606" s="16"/>
      <c r="J606" s="16"/>
      <c r="K606" s="16"/>
      <c r="L606" s="14"/>
      <c r="M606" s="16"/>
      <c r="N606" s="14"/>
      <c r="O606" s="6"/>
      <c r="P606" s="6"/>
      <c r="Q606" s="6"/>
    </row>
    <row r="607" spans="1:17" ht="12.75" customHeight="1" x14ac:dyDescent="0.3">
      <c r="A607" s="6"/>
      <c r="B607" s="19">
        <v>604</v>
      </c>
      <c r="C607" s="14"/>
      <c r="D607" s="21">
        <f>NamaPelanggan!D607</f>
        <v>0</v>
      </c>
      <c r="E607" s="14"/>
      <c r="F607" s="16"/>
      <c r="G607" s="16"/>
      <c r="H607" s="16"/>
      <c r="I607" s="16"/>
      <c r="J607" s="16"/>
      <c r="K607" s="16"/>
      <c r="L607" s="14"/>
      <c r="M607" s="16"/>
      <c r="N607" s="14"/>
      <c r="O607" s="6"/>
      <c r="P607" s="6"/>
      <c r="Q607" s="6"/>
    </row>
    <row r="608" spans="1:17" ht="12.75" customHeight="1" x14ac:dyDescent="0.3">
      <c r="A608" s="6"/>
      <c r="B608" s="19">
        <v>605</v>
      </c>
      <c r="C608" s="14"/>
      <c r="D608" s="21">
        <f>NamaPelanggan!D608</f>
        <v>0</v>
      </c>
      <c r="E608" s="14"/>
      <c r="F608" s="16"/>
      <c r="G608" s="16"/>
      <c r="H608" s="16"/>
      <c r="I608" s="16"/>
      <c r="J608" s="16"/>
      <c r="K608" s="16"/>
      <c r="L608" s="14"/>
      <c r="M608" s="16"/>
      <c r="N608" s="14"/>
      <c r="O608" s="6"/>
      <c r="P608" s="6"/>
      <c r="Q608" s="6"/>
    </row>
    <row r="609" spans="1:17" ht="12.75" customHeight="1" x14ac:dyDescent="0.3">
      <c r="A609" s="6"/>
      <c r="B609" s="19">
        <v>606</v>
      </c>
      <c r="C609" s="14"/>
      <c r="D609" s="21">
        <f>NamaPelanggan!D609</f>
        <v>0</v>
      </c>
      <c r="E609" s="14"/>
      <c r="F609" s="16"/>
      <c r="G609" s="16"/>
      <c r="H609" s="16"/>
      <c r="I609" s="16"/>
      <c r="J609" s="16"/>
      <c r="K609" s="16"/>
      <c r="L609" s="14"/>
      <c r="M609" s="16"/>
      <c r="N609" s="14"/>
      <c r="O609" s="6"/>
      <c r="P609" s="6"/>
      <c r="Q609" s="6"/>
    </row>
    <row r="610" spans="1:17" ht="12.75" customHeight="1" x14ac:dyDescent="0.3">
      <c r="A610" s="6"/>
      <c r="B610" s="19">
        <v>607</v>
      </c>
      <c r="C610" s="14"/>
      <c r="D610" s="21">
        <f>NamaPelanggan!D610</f>
        <v>0</v>
      </c>
      <c r="E610" s="14"/>
      <c r="F610" s="16"/>
      <c r="G610" s="16"/>
      <c r="H610" s="16"/>
      <c r="I610" s="16"/>
      <c r="J610" s="16"/>
      <c r="K610" s="16"/>
      <c r="L610" s="14"/>
      <c r="M610" s="16"/>
      <c r="N610" s="14"/>
      <c r="O610" s="6"/>
      <c r="P610" s="6"/>
      <c r="Q610" s="6"/>
    </row>
    <row r="611" spans="1:17" ht="12.75" customHeight="1" x14ac:dyDescent="0.3">
      <c r="A611" s="6"/>
      <c r="B611" s="19">
        <v>608</v>
      </c>
      <c r="C611" s="14"/>
      <c r="D611" s="21">
        <f>NamaPelanggan!D611</f>
        <v>0</v>
      </c>
      <c r="E611" s="14"/>
      <c r="F611" s="16"/>
      <c r="G611" s="16"/>
      <c r="H611" s="16"/>
      <c r="I611" s="16"/>
      <c r="J611" s="16"/>
      <c r="K611" s="16"/>
      <c r="L611" s="14"/>
      <c r="M611" s="16"/>
      <c r="N611" s="14"/>
      <c r="O611" s="6"/>
      <c r="P611" s="6"/>
      <c r="Q611" s="6"/>
    </row>
    <row r="612" spans="1:17" ht="12.75" customHeight="1" x14ac:dyDescent="0.3">
      <c r="A612" s="6"/>
      <c r="B612" s="19">
        <v>609</v>
      </c>
      <c r="C612" s="14"/>
      <c r="D612" s="21">
        <f>NamaPelanggan!D612</f>
        <v>0</v>
      </c>
      <c r="E612" s="14"/>
      <c r="F612" s="16"/>
      <c r="G612" s="16"/>
      <c r="H612" s="16"/>
      <c r="I612" s="16"/>
      <c r="J612" s="16"/>
      <c r="K612" s="16"/>
      <c r="L612" s="14"/>
      <c r="M612" s="16"/>
      <c r="N612" s="14"/>
      <c r="O612" s="6"/>
      <c r="P612" s="6"/>
      <c r="Q612" s="6"/>
    </row>
    <row r="613" spans="1:17" ht="12.75" customHeight="1" x14ac:dyDescent="0.3">
      <c r="A613" s="6"/>
      <c r="B613" s="19">
        <v>610</v>
      </c>
      <c r="C613" s="14"/>
      <c r="D613" s="21">
        <f>NamaPelanggan!D613</f>
        <v>0</v>
      </c>
      <c r="E613" s="14"/>
      <c r="F613" s="16"/>
      <c r="G613" s="16"/>
      <c r="H613" s="16"/>
      <c r="I613" s="16"/>
      <c r="J613" s="16"/>
      <c r="K613" s="16"/>
      <c r="L613" s="14"/>
      <c r="M613" s="16"/>
      <c r="N613" s="14"/>
      <c r="O613" s="6"/>
      <c r="P613" s="6"/>
      <c r="Q613" s="6"/>
    </row>
    <row r="614" spans="1:17" ht="12.75" customHeight="1" x14ac:dyDescent="0.3">
      <c r="A614" s="6"/>
      <c r="B614" s="19">
        <v>611</v>
      </c>
      <c r="C614" s="14"/>
      <c r="D614" s="21">
        <f>NamaPelanggan!D614</f>
        <v>0</v>
      </c>
      <c r="E614" s="14"/>
      <c r="F614" s="16"/>
      <c r="G614" s="16"/>
      <c r="H614" s="16"/>
      <c r="I614" s="16"/>
      <c r="J614" s="16"/>
      <c r="K614" s="16"/>
      <c r="L614" s="14"/>
      <c r="M614" s="16"/>
      <c r="N614" s="14"/>
      <c r="O614" s="6"/>
      <c r="P614" s="6"/>
      <c r="Q614" s="6"/>
    </row>
    <row r="615" spans="1:17" ht="12.75" customHeight="1" x14ac:dyDescent="0.3">
      <c r="A615" s="6"/>
      <c r="B615" s="19">
        <v>612</v>
      </c>
      <c r="C615" s="14"/>
      <c r="D615" s="21">
        <f>NamaPelanggan!D615</f>
        <v>0</v>
      </c>
      <c r="E615" s="14"/>
      <c r="F615" s="16"/>
      <c r="G615" s="16"/>
      <c r="H615" s="16"/>
      <c r="I615" s="16"/>
      <c r="J615" s="16"/>
      <c r="K615" s="16"/>
      <c r="L615" s="14"/>
      <c r="M615" s="16"/>
      <c r="N615" s="14"/>
      <c r="O615" s="6"/>
      <c r="P615" s="6"/>
      <c r="Q615" s="6"/>
    </row>
    <row r="616" spans="1:17" ht="12.75" customHeight="1" x14ac:dyDescent="0.3">
      <c r="A616" s="6"/>
      <c r="B616" s="19">
        <v>613</v>
      </c>
      <c r="C616" s="14"/>
      <c r="D616" s="21">
        <f>NamaPelanggan!D616</f>
        <v>0</v>
      </c>
      <c r="E616" s="14"/>
      <c r="F616" s="16"/>
      <c r="G616" s="16"/>
      <c r="H616" s="16"/>
      <c r="I616" s="16"/>
      <c r="J616" s="16"/>
      <c r="K616" s="16"/>
      <c r="L616" s="14"/>
      <c r="M616" s="16"/>
      <c r="N616" s="14"/>
      <c r="O616" s="6"/>
      <c r="P616" s="6"/>
      <c r="Q616" s="6"/>
    </row>
    <row r="617" spans="1:17" ht="12.75" customHeight="1" x14ac:dyDescent="0.3">
      <c r="A617" s="6"/>
      <c r="B617" s="19">
        <v>614</v>
      </c>
      <c r="C617" s="14"/>
      <c r="D617" s="21">
        <f>NamaPelanggan!D617</f>
        <v>0</v>
      </c>
      <c r="E617" s="14"/>
      <c r="F617" s="16"/>
      <c r="G617" s="16"/>
      <c r="H617" s="16"/>
      <c r="I617" s="16"/>
      <c r="J617" s="16"/>
      <c r="K617" s="16"/>
      <c r="L617" s="14"/>
      <c r="M617" s="16"/>
      <c r="N617" s="14"/>
      <c r="O617" s="6"/>
      <c r="P617" s="6"/>
      <c r="Q617" s="6"/>
    </row>
    <row r="618" spans="1:17" ht="12.75" customHeight="1" x14ac:dyDescent="0.3">
      <c r="A618" s="6"/>
      <c r="B618" s="19">
        <v>615</v>
      </c>
      <c r="C618" s="14"/>
      <c r="D618" s="21">
        <f>NamaPelanggan!D618</f>
        <v>0</v>
      </c>
      <c r="E618" s="14"/>
      <c r="F618" s="16"/>
      <c r="G618" s="16"/>
      <c r="H618" s="16"/>
      <c r="I618" s="16"/>
      <c r="J618" s="16"/>
      <c r="K618" s="16"/>
      <c r="L618" s="14"/>
      <c r="M618" s="16"/>
      <c r="N618" s="14"/>
      <c r="O618" s="6"/>
      <c r="P618" s="6"/>
      <c r="Q618" s="6"/>
    </row>
    <row r="619" spans="1:17" ht="12.75" customHeight="1" x14ac:dyDescent="0.3">
      <c r="A619" s="6"/>
      <c r="B619" s="19">
        <v>616</v>
      </c>
      <c r="C619" s="14"/>
      <c r="D619" s="21">
        <f>NamaPelanggan!D619</f>
        <v>0</v>
      </c>
      <c r="E619" s="14"/>
      <c r="F619" s="16"/>
      <c r="G619" s="16"/>
      <c r="H619" s="16"/>
      <c r="I619" s="16"/>
      <c r="J619" s="16"/>
      <c r="K619" s="16"/>
      <c r="L619" s="14"/>
      <c r="M619" s="16"/>
      <c r="N619" s="14"/>
      <c r="O619" s="6"/>
      <c r="P619" s="6"/>
      <c r="Q619" s="6"/>
    </row>
    <row r="620" spans="1:17" ht="12.75" customHeight="1" x14ac:dyDescent="0.3">
      <c r="A620" s="6"/>
      <c r="B620" s="19">
        <v>617</v>
      </c>
      <c r="C620" s="14"/>
      <c r="D620" s="21">
        <f>NamaPelanggan!D620</f>
        <v>0</v>
      </c>
      <c r="E620" s="14"/>
      <c r="F620" s="16"/>
      <c r="G620" s="16"/>
      <c r="H620" s="16"/>
      <c r="I620" s="16"/>
      <c r="J620" s="16"/>
      <c r="K620" s="16"/>
      <c r="L620" s="14"/>
      <c r="M620" s="16"/>
      <c r="N620" s="14"/>
      <c r="O620" s="6"/>
      <c r="P620" s="6"/>
      <c r="Q620" s="6"/>
    </row>
    <row r="621" spans="1:17" ht="12.75" customHeight="1" x14ac:dyDescent="0.3">
      <c r="A621" s="6"/>
      <c r="B621" s="19">
        <v>618</v>
      </c>
      <c r="C621" s="14"/>
      <c r="D621" s="21">
        <f>NamaPelanggan!D621</f>
        <v>0</v>
      </c>
      <c r="E621" s="14"/>
      <c r="F621" s="16"/>
      <c r="G621" s="16"/>
      <c r="H621" s="16"/>
      <c r="I621" s="16"/>
      <c r="J621" s="16"/>
      <c r="K621" s="16"/>
      <c r="L621" s="14"/>
      <c r="M621" s="16"/>
      <c r="N621" s="14"/>
      <c r="O621" s="6"/>
      <c r="P621" s="6"/>
      <c r="Q621" s="6"/>
    </row>
    <row r="622" spans="1:17" ht="12.75" customHeight="1" x14ac:dyDescent="0.3">
      <c r="A622" s="6"/>
      <c r="B622" s="19">
        <v>619</v>
      </c>
      <c r="C622" s="14"/>
      <c r="D622" s="21">
        <f>NamaPelanggan!D622</f>
        <v>0</v>
      </c>
      <c r="E622" s="14"/>
      <c r="F622" s="16"/>
      <c r="G622" s="16"/>
      <c r="H622" s="16"/>
      <c r="I622" s="16"/>
      <c r="J622" s="16"/>
      <c r="K622" s="16"/>
      <c r="L622" s="14"/>
      <c r="M622" s="16"/>
      <c r="N622" s="14"/>
      <c r="O622" s="6"/>
      <c r="P622" s="6"/>
      <c r="Q622" s="6"/>
    </row>
    <row r="623" spans="1:17" ht="12.75" customHeight="1" x14ac:dyDescent="0.3">
      <c r="A623" s="6"/>
      <c r="B623" s="19">
        <v>620</v>
      </c>
      <c r="C623" s="14"/>
      <c r="D623" s="21">
        <f>NamaPelanggan!D623</f>
        <v>0</v>
      </c>
      <c r="E623" s="14"/>
      <c r="F623" s="16"/>
      <c r="G623" s="16"/>
      <c r="H623" s="16"/>
      <c r="I623" s="16"/>
      <c r="J623" s="16"/>
      <c r="K623" s="16"/>
      <c r="L623" s="14"/>
      <c r="M623" s="16"/>
      <c r="N623" s="14"/>
      <c r="O623" s="6"/>
      <c r="P623" s="6"/>
      <c r="Q623" s="6"/>
    </row>
    <row r="624" spans="1:17" ht="12.75" customHeight="1" x14ac:dyDescent="0.3">
      <c r="A624" s="6"/>
      <c r="B624" s="19">
        <v>621</v>
      </c>
      <c r="C624" s="14"/>
      <c r="D624" s="21">
        <f>NamaPelanggan!D624</f>
        <v>0</v>
      </c>
      <c r="E624" s="14"/>
      <c r="F624" s="16"/>
      <c r="G624" s="16"/>
      <c r="H624" s="16"/>
      <c r="I624" s="16"/>
      <c r="J624" s="16"/>
      <c r="K624" s="16"/>
      <c r="L624" s="14"/>
      <c r="M624" s="16"/>
      <c r="N624" s="14"/>
      <c r="O624" s="6"/>
      <c r="P624" s="6"/>
      <c r="Q624" s="6"/>
    </row>
    <row r="625" spans="1:17" ht="12.75" customHeight="1" x14ac:dyDescent="0.3">
      <c r="A625" s="6"/>
      <c r="B625" s="19">
        <v>622</v>
      </c>
      <c r="C625" s="14"/>
      <c r="D625" s="21">
        <f>NamaPelanggan!D625</f>
        <v>0</v>
      </c>
      <c r="E625" s="14"/>
      <c r="F625" s="16"/>
      <c r="G625" s="16"/>
      <c r="H625" s="16"/>
      <c r="I625" s="16"/>
      <c r="J625" s="16"/>
      <c r="K625" s="16"/>
      <c r="L625" s="14"/>
      <c r="M625" s="16"/>
      <c r="N625" s="14"/>
      <c r="O625" s="6"/>
      <c r="P625" s="6"/>
      <c r="Q625" s="6"/>
    </row>
    <row r="626" spans="1:17" ht="12.75" customHeight="1" x14ac:dyDescent="0.3">
      <c r="A626" s="6"/>
      <c r="B626" s="19">
        <v>623</v>
      </c>
      <c r="C626" s="14"/>
      <c r="D626" s="21">
        <f>NamaPelanggan!D626</f>
        <v>0</v>
      </c>
      <c r="E626" s="14"/>
      <c r="F626" s="16"/>
      <c r="G626" s="16"/>
      <c r="H626" s="16"/>
      <c r="I626" s="16"/>
      <c r="J626" s="16"/>
      <c r="K626" s="16"/>
      <c r="L626" s="14"/>
      <c r="M626" s="16"/>
      <c r="N626" s="14"/>
      <c r="O626" s="6"/>
      <c r="P626" s="6"/>
      <c r="Q626" s="6"/>
    </row>
    <row r="627" spans="1:17" ht="12.75" customHeight="1" x14ac:dyDescent="0.3">
      <c r="A627" s="6"/>
      <c r="B627" s="19">
        <v>624</v>
      </c>
      <c r="C627" s="14"/>
      <c r="D627" s="21">
        <f>NamaPelanggan!D627</f>
        <v>0</v>
      </c>
      <c r="E627" s="14"/>
      <c r="F627" s="16"/>
      <c r="G627" s="16"/>
      <c r="H627" s="16"/>
      <c r="I627" s="16"/>
      <c r="J627" s="16"/>
      <c r="K627" s="16"/>
      <c r="L627" s="14"/>
      <c r="M627" s="16"/>
      <c r="N627" s="14"/>
      <c r="O627" s="6"/>
      <c r="P627" s="6"/>
      <c r="Q627" s="6"/>
    </row>
    <row r="628" spans="1:17" ht="12.75" customHeight="1" x14ac:dyDescent="0.3">
      <c r="A628" s="6"/>
      <c r="B628" s="19">
        <v>625</v>
      </c>
      <c r="C628" s="14"/>
      <c r="D628" s="21">
        <f>NamaPelanggan!D628</f>
        <v>0</v>
      </c>
      <c r="E628" s="14"/>
      <c r="F628" s="16"/>
      <c r="G628" s="16"/>
      <c r="H628" s="16"/>
      <c r="I628" s="16"/>
      <c r="J628" s="16"/>
      <c r="K628" s="16"/>
      <c r="L628" s="14"/>
      <c r="M628" s="16"/>
      <c r="N628" s="14"/>
      <c r="O628" s="6"/>
      <c r="P628" s="6"/>
      <c r="Q628" s="6"/>
    </row>
    <row r="629" spans="1:17" ht="12.75" customHeight="1" x14ac:dyDescent="0.3">
      <c r="A629" s="6"/>
      <c r="B629" s="19">
        <v>626</v>
      </c>
      <c r="C629" s="14"/>
      <c r="D629" s="21">
        <f>NamaPelanggan!D629</f>
        <v>0</v>
      </c>
      <c r="E629" s="14"/>
      <c r="F629" s="16"/>
      <c r="G629" s="16"/>
      <c r="H629" s="16"/>
      <c r="I629" s="16"/>
      <c r="J629" s="16"/>
      <c r="K629" s="16"/>
      <c r="L629" s="14"/>
      <c r="M629" s="16"/>
      <c r="N629" s="14"/>
      <c r="O629" s="6"/>
      <c r="P629" s="6"/>
      <c r="Q629" s="6"/>
    </row>
    <row r="630" spans="1:17" ht="12.75" customHeight="1" x14ac:dyDescent="0.3">
      <c r="A630" s="6"/>
      <c r="B630" s="19">
        <v>627</v>
      </c>
      <c r="C630" s="14"/>
      <c r="D630" s="21">
        <f>NamaPelanggan!D630</f>
        <v>0</v>
      </c>
      <c r="E630" s="14"/>
      <c r="F630" s="16"/>
      <c r="G630" s="16"/>
      <c r="H630" s="16"/>
      <c r="I630" s="16"/>
      <c r="J630" s="16"/>
      <c r="K630" s="16"/>
      <c r="L630" s="14"/>
      <c r="M630" s="16"/>
      <c r="N630" s="14"/>
      <c r="O630" s="6"/>
      <c r="P630" s="6"/>
      <c r="Q630" s="6"/>
    </row>
    <row r="631" spans="1:17" ht="12.75" customHeight="1" x14ac:dyDescent="0.3">
      <c r="A631" s="6"/>
      <c r="B631" s="19">
        <v>628</v>
      </c>
      <c r="C631" s="14"/>
      <c r="D631" s="21">
        <f>NamaPelanggan!D631</f>
        <v>0</v>
      </c>
      <c r="E631" s="14"/>
      <c r="F631" s="16"/>
      <c r="G631" s="16"/>
      <c r="H631" s="16"/>
      <c r="I631" s="16"/>
      <c r="J631" s="16"/>
      <c r="K631" s="16"/>
      <c r="L631" s="14"/>
      <c r="M631" s="16"/>
      <c r="N631" s="14"/>
      <c r="O631" s="6"/>
      <c r="P631" s="6"/>
      <c r="Q631" s="6"/>
    </row>
    <row r="632" spans="1:17" ht="12.75" customHeight="1" x14ac:dyDescent="0.3">
      <c r="A632" s="6"/>
      <c r="B632" s="19">
        <v>629</v>
      </c>
      <c r="C632" s="14"/>
      <c r="D632" s="21">
        <f>NamaPelanggan!D632</f>
        <v>0</v>
      </c>
      <c r="E632" s="14"/>
      <c r="F632" s="16"/>
      <c r="G632" s="16"/>
      <c r="H632" s="16"/>
      <c r="I632" s="16"/>
      <c r="J632" s="16"/>
      <c r="K632" s="16"/>
      <c r="L632" s="14"/>
      <c r="M632" s="16"/>
      <c r="N632" s="14"/>
      <c r="O632" s="6"/>
      <c r="P632" s="6"/>
      <c r="Q632" s="6"/>
    </row>
    <row r="633" spans="1:17" ht="12.75" customHeight="1" x14ac:dyDescent="0.3">
      <c r="A633" s="6"/>
      <c r="B633" s="19">
        <v>630</v>
      </c>
      <c r="C633" s="14"/>
      <c r="D633" s="21">
        <f>NamaPelanggan!D633</f>
        <v>0</v>
      </c>
      <c r="E633" s="14"/>
      <c r="F633" s="16"/>
      <c r="G633" s="16"/>
      <c r="H633" s="16"/>
      <c r="I633" s="16"/>
      <c r="J633" s="16"/>
      <c r="K633" s="16"/>
      <c r="L633" s="14"/>
      <c r="M633" s="16"/>
      <c r="N633" s="14"/>
      <c r="O633" s="6"/>
      <c r="P633" s="6"/>
      <c r="Q633" s="6"/>
    </row>
    <row r="634" spans="1:17" ht="12.75" customHeight="1" x14ac:dyDescent="0.3">
      <c r="A634" s="6"/>
      <c r="B634" s="19">
        <v>631</v>
      </c>
      <c r="C634" s="14"/>
      <c r="D634" s="21">
        <f>NamaPelanggan!D634</f>
        <v>0</v>
      </c>
      <c r="E634" s="14"/>
      <c r="F634" s="16"/>
      <c r="G634" s="16"/>
      <c r="H634" s="16"/>
      <c r="I634" s="16"/>
      <c r="J634" s="16"/>
      <c r="K634" s="16"/>
      <c r="L634" s="14"/>
      <c r="M634" s="16"/>
      <c r="N634" s="14"/>
      <c r="O634" s="6"/>
      <c r="P634" s="6"/>
      <c r="Q634" s="6"/>
    </row>
    <row r="635" spans="1:17" ht="12.75" customHeight="1" x14ac:dyDescent="0.3">
      <c r="A635" s="6"/>
      <c r="B635" s="19">
        <v>632</v>
      </c>
      <c r="C635" s="14"/>
      <c r="D635" s="21">
        <f>NamaPelanggan!D635</f>
        <v>0</v>
      </c>
      <c r="E635" s="14"/>
      <c r="F635" s="16"/>
      <c r="G635" s="16"/>
      <c r="H635" s="16"/>
      <c r="I635" s="16"/>
      <c r="J635" s="16"/>
      <c r="K635" s="16"/>
      <c r="L635" s="14"/>
      <c r="M635" s="16"/>
      <c r="N635" s="14"/>
      <c r="O635" s="6"/>
      <c r="P635" s="6"/>
      <c r="Q635" s="6"/>
    </row>
    <row r="636" spans="1:17" ht="12.75" customHeight="1" x14ac:dyDescent="0.3">
      <c r="A636" s="6"/>
      <c r="B636" s="19">
        <v>633</v>
      </c>
      <c r="C636" s="14"/>
      <c r="D636" s="21">
        <f>NamaPelanggan!D636</f>
        <v>0</v>
      </c>
      <c r="E636" s="14"/>
      <c r="F636" s="16"/>
      <c r="G636" s="16"/>
      <c r="H636" s="16"/>
      <c r="I636" s="16"/>
      <c r="J636" s="16"/>
      <c r="K636" s="16"/>
      <c r="L636" s="14"/>
      <c r="M636" s="16"/>
      <c r="N636" s="14"/>
      <c r="O636" s="6"/>
      <c r="P636" s="6"/>
      <c r="Q636" s="6"/>
    </row>
    <row r="637" spans="1:17" ht="12.75" customHeight="1" x14ac:dyDescent="0.3">
      <c r="A637" s="6"/>
      <c r="B637" s="19">
        <v>634</v>
      </c>
      <c r="C637" s="14"/>
      <c r="D637" s="21">
        <f>NamaPelanggan!D637</f>
        <v>0</v>
      </c>
      <c r="E637" s="14"/>
      <c r="F637" s="16"/>
      <c r="G637" s="16"/>
      <c r="H637" s="16"/>
      <c r="I637" s="16"/>
      <c r="J637" s="16"/>
      <c r="K637" s="16"/>
      <c r="L637" s="14"/>
      <c r="M637" s="16"/>
      <c r="N637" s="14"/>
      <c r="O637" s="6"/>
      <c r="P637" s="6"/>
      <c r="Q637" s="6"/>
    </row>
    <row r="638" spans="1:17" ht="12.75" customHeight="1" x14ac:dyDescent="0.3">
      <c r="A638" s="6"/>
      <c r="B638" s="19">
        <v>635</v>
      </c>
      <c r="C638" s="14"/>
      <c r="D638" s="21">
        <f>NamaPelanggan!D638</f>
        <v>0</v>
      </c>
      <c r="E638" s="14"/>
      <c r="F638" s="16"/>
      <c r="G638" s="16"/>
      <c r="H638" s="16"/>
      <c r="I638" s="16"/>
      <c r="J638" s="16"/>
      <c r="K638" s="16"/>
      <c r="L638" s="14"/>
      <c r="M638" s="16"/>
      <c r="N638" s="14"/>
      <c r="O638" s="6"/>
      <c r="P638" s="6"/>
      <c r="Q638" s="6"/>
    </row>
    <row r="639" spans="1:17" ht="12.75" customHeight="1" x14ac:dyDescent="0.3">
      <c r="A639" s="6"/>
      <c r="B639" s="19">
        <v>636</v>
      </c>
      <c r="C639" s="14"/>
      <c r="D639" s="21">
        <f>NamaPelanggan!D639</f>
        <v>0</v>
      </c>
      <c r="E639" s="14"/>
      <c r="F639" s="16"/>
      <c r="G639" s="16"/>
      <c r="H639" s="16"/>
      <c r="I639" s="16"/>
      <c r="J639" s="16"/>
      <c r="K639" s="16"/>
      <c r="L639" s="14"/>
      <c r="M639" s="16"/>
      <c r="N639" s="14"/>
      <c r="O639" s="6"/>
      <c r="P639" s="6"/>
      <c r="Q639" s="6"/>
    </row>
    <row r="640" spans="1:17" ht="12.75" customHeight="1" x14ac:dyDescent="0.3">
      <c r="A640" s="6"/>
      <c r="B640" s="19">
        <v>637</v>
      </c>
      <c r="C640" s="14"/>
      <c r="D640" s="21">
        <f>NamaPelanggan!D640</f>
        <v>0</v>
      </c>
      <c r="E640" s="14"/>
      <c r="F640" s="16"/>
      <c r="G640" s="16"/>
      <c r="H640" s="16"/>
      <c r="I640" s="16"/>
      <c r="J640" s="16"/>
      <c r="K640" s="16"/>
      <c r="L640" s="14"/>
      <c r="M640" s="16"/>
      <c r="N640" s="14"/>
      <c r="O640" s="6"/>
      <c r="P640" s="6"/>
      <c r="Q640" s="6"/>
    </row>
    <row r="641" spans="1:17" ht="12.75" customHeight="1" x14ac:dyDescent="0.3">
      <c r="A641" s="6"/>
      <c r="B641" s="19">
        <v>638</v>
      </c>
      <c r="C641" s="14"/>
      <c r="D641" s="21">
        <f>NamaPelanggan!D641</f>
        <v>0</v>
      </c>
      <c r="E641" s="14"/>
      <c r="F641" s="16"/>
      <c r="G641" s="16"/>
      <c r="H641" s="16"/>
      <c r="I641" s="16"/>
      <c r="J641" s="16"/>
      <c r="K641" s="16"/>
      <c r="L641" s="14"/>
      <c r="M641" s="16"/>
      <c r="N641" s="14"/>
      <c r="O641" s="6"/>
      <c r="P641" s="6"/>
      <c r="Q641" s="6"/>
    </row>
    <row r="642" spans="1:17" ht="12.75" customHeight="1" x14ac:dyDescent="0.3">
      <c r="A642" s="6"/>
      <c r="B642" s="19">
        <v>639</v>
      </c>
      <c r="C642" s="14"/>
      <c r="D642" s="21">
        <f>NamaPelanggan!D642</f>
        <v>0</v>
      </c>
      <c r="E642" s="14"/>
      <c r="F642" s="16"/>
      <c r="G642" s="16"/>
      <c r="H642" s="16"/>
      <c r="I642" s="16"/>
      <c r="J642" s="16"/>
      <c r="K642" s="16"/>
      <c r="L642" s="14"/>
      <c r="M642" s="16"/>
      <c r="N642" s="14"/>
      <c r="O642" s="6"/>
      <c r="P642" s="6"/>
      <c r="Q642" s="6"/>
    </row>
    <row r="643" spans="1:17" ht="12.75" customHeight="1" x14ac:dyDescent="0.3">
      <c r="A643" s="6"/>
      <c r="B643" s="19">
        <v>640</v>
      </c>
      <c r="C643" s="14"/>
      <c r="D643" s="21">
        <f>NamaPelanggan!D643</f>
        <v>0</v>
      </c>
      <c r="E643" s="14"/>
      <c r="F643" s="16"/>
      <c r="G643" s="16"/>
      <c r="H643" s="16"/>
      <c r="I643" s="16"/>
      <c r="J643" s="16"/>
      <c r="K643" s="16"/>
      <c r="L643" s="14"/>
      <c r="M643" s="16"/>
      <c r="N643" s="14"/>
      <c r="O643" s="6"/>
      <c r="P643" s="6"/>
      <c r="Q643" s="6"/>
    </row>
    <row r="644" spans="1:17" ht="12.75" customHeight="1" x14ac:dyDescent="0.3">
      <c r="A644" s="6"/>
      <c r="B644" s="19">
        <v>641</v>
      </c>
      <c r="C644" s="14"/>
      <c r="D644" s="21">
        <f>NamaPelanggan!D644</f>
        <v>0</v>
      </c>
      <c r="E644" s="14"/>
      <c r="F644" s="16"/>
      <c r="G644" s="16"/>
      <c r="H644" s="16"/>
      <c r="I644" s="16"/>
      <c r="J644" s="16"/>
      <c r="K644" s="16"/>
      <c r="L644" s="14"/>
      <c r="M644" s="16"/>
      <c r="N644" s="14"/>
      <c r="O644" s="6"/>
      <c r="P644" s="6"/>
      <c r="Q644" s="6"/>
    </row>
    <row r="645" spans="1:17" ht="12.75" customHeight="1" x14ac:dyDescent="0.3">
      <c r="A645" s="6"/>
      <c r="B645" s="19">
        <v>642</v>
      </c>
      <c r="C645" s="14"/>
      <c r="D645" s="21">
        <f>NamaPelanggan!D645</f>
        <v>0</v>
      </c>
      <c r="E645" s="14"/>
      <c r="F645" s="16"/>
      <c r="G645" s="16"/>
      <c r="H645" s="16"/>
      <c r="I645" s="16"/>
      <c r="J645" s="16"/>
      <c r="K645" s="16"/>
      <c r="L645" s="14"/>
      <c r="M645" s="16"/>
      <c r="N645" s="14"/>
      <c r="O645" s="6"/>
      <c r="P645" s="6"/>
      <c r="Q645" s="6"/>
    </row>
    <row r="646" spans="1:17" ht="12.75" customHeight="1" x14ac:dyDescent="0.3">
      <c r="A646" s="6"/>
      <c r="B646" s="19">
        <v>643</v>
      </c>
      <c r="C646" s="14"/>
      <c r="D646" s="21">
        <f>NamaPelanggan!D646</f>
        <v>0</v>
      </c>
      <c r="E646" s="14"/>
      <c r="F646" s="16"/>
      <c r="G646" s="16"/>
      <c r="H646" s="16"/>
      <c r="I646" s="16"/>
      <c r="J646" s="16"/>
      <c r="K646" s="16"/>
      <c r="L646" s="14"/>
      <c r="M646" s="16"/>
      <c r="N646" s="14"/>
      <c r="O646" s="6"/>
      <c r="P646" s="6"/>
      <c r="Q646" s="6"/>
    </row>
    <row r="647" spans="1:17" ht="12.75" customHeight="1" x14ac:dyDescent="0.3">
      <c r="A647" s="6"/>
      <c r="B647" s="19">
        <v>644</v>
      </c>
      <c r="C647" s="14"/>
      <c r="D647" s="21">
        <f>NamaPelanggan!D647</f>
        <v>0</v>
      </c>
      <c r="E647" s="14"/>
      <c r="F647" s="16"/>
      <c r="G647" s="16"/>
      <c r="H647" s="16"/>
      <c r="I647" s="16"/>
      <c r="J647" s="16"/>
      <c r="K647" s="16"/>
      <c r="L647" s="14"/>
      <c r="M647" s="16"/>
      <c r="N647" s="14"/>
      <c r="O647" s="6"/>
      <c r="P647" s="6"/>
      <c r="Q647" s="6"/>
    </row>
    <row r="648" spans="1:17" ht="12.75" customHeight="1" x14ac:dyDescent="0.3">
      <c r="A648" s="6"/>
      <c r="B648" s="19">
        <v>645</v>
      </c>
      <c r="C648" s="14"/>
      <c r="D648" s="21">
        <f>NamaPelanggan!D648</f>
        <v>0</v>
      </c>
      <c r="E648" s="14"/>
      <c r="F648" s="16"/>
      <c r="G648" s="16"/>
      <c r="H648" s="16"/>
      <c r="I648" s="16"/>
      <c r="J648" s="16"/>
      <c r="K648" s="16"/>
      <c r="L648" s="14"/>
      <c r="M648" s="16"/>
      <c r="N648" s="14"/>
      <c r="O648" s="6"/>
      <c r="P648" s="6"/>
      <c r="Q648" s="6"/>
    </row>
    <row r="649" spans="1:17" ht="12.75" customHeight="1" x14ac:dyDescent="0.3">
      <c r="A649" s="6"/>
      <c r="B649" s="19">
        <v>646</v>
      </c>
      <c r="C649" s="14"/>
      <c r="D649" s="21">
        <f>NamaPelanggan!D649</f>
        <v>0</v>
      </c>
      <c r="E649" s="14"/>
      <c r="F649" s="16"/>
      <c r="G649" s="16"/>
      <c r="H649" s="16"/>
      <c r="I649" s="16"/>
      <c r="J649" s="16"/>
      <c r="K649" s="16"/>
      <c r="L649" s="14"/>
      <c r="M649" s="16"/>
      <c r="N649" s="14"/>
      <c r="O649" s="6"/>
      <c r="P649" s="6"/>
      <c r="Q649" s="6"/>
    </row>
    <row r="650" spans="1:17" ht="12.75" customHeight="1" x14ac:dyDescent="0.3">
      <c r="A650" s="6"/>
      <c r="B650" s="19">
        <v>647</v>
      </c>
      <c r="C650" s="14"/>
      <c r="D650" s="21">
        <f>NamaPelanggan!D650</f>
        <v>0</v>
      </c>
      <c r="E650" s="14"/>
      <c r="F650" s="16"/>
      <c r="G650" s="16"/>
      <c r="H650" s="16"/>
      <c r="I650" s="16"/>
      <c r="J650" s="16"/>
      <c r="K650" s="16"/>
      <c r="L650" s="14"/>
      <c r="M650" s="16"/>
      <c r="N650" s="14"/>
      <c r="O650" s="6"/>
      <c r="P650" s="6"/>
      <c r="Q650" s="6"/>
    </row>
    <row r="651" spans="1:17" ht="12.75" customHeight="1" x14ac:dyDescent="0.3">
      <c r="A651" s="6"/>
      <c r="B651" s="19">
        <v>648</v>
      </c>
      <c r="C651" s="14"/>
      <c r="D651" s="21">
        <f>NamaPelanggan!D651</f>
        <v>0</v>
      </c>
      <c r="E651" s="14"/>
      <c r="F651" s="16"/>
      <c r="G651" s="16"/>
      <c r="H651" s="16"/>
      <c r="I651" s="16"/>
      <c r="J651" s="16"/>
      <c r="K651" s="16"/>
      <c r="L651" s="14"/>
      <c r="M651" s="16"/>
      <c r="N651" s="14"/>
      <c r="O651" s="6"/>
      <c r="P651" s="6"/>
      <c r="Q651" s="6"/>
    </row>
    <row r="652" spans="1:17" ht="12.75" customHeight="1" x14ac:dyDescent="0.3">
      <c r="A652" s="6"/>
      <c r="B652" s="19">
        <v>649</v>
      </c>
      <c r="C652" s="14"/>
      <c r="D652" s="21">
        <f>NamaPelanggan!D652</f>
        <v>0</v>
      </c>
      <c r="E652" s="14"/>
      <c r="F652" s="16"/>
      <c r="G652" s="16"/>
      <c r="H652" s="16"/>
      <c r="I652" s="16"/>
      <c r="J652" s="16"/>
      <c r="K652" s="16"/>
      <c r="L652" s="14"/>
      <c r="M652" s="16"/>
      <c r="N652" s="14"/>
      <c r="O652" s="6"/>
      <c r="P652" s="6"/>
      <c r="Q652" s="6"/>
    </row>
    <row r="653" spans="1:17" ht="12.75" customHeight="1" x14ac:dyDescent="0.3">
      <c r="A653" s="6"/>
      <c r="B653" s="19">
        <v>650</v>
      </c>
      <c r="C653" s="14"/>
      <c r="D653" s="21">
        <f>NamaPelanggan!D653</f>
        <v>0</v>
      </c>
      <c r="E653" s="14"/>
      <c r="F653" s="16"/>
      <c r="G653" s="16"/>
      <c r="H653" s="16"/>
      <c r="I653" s="16"/>
      <c r="J653" s="16"/>
      <c r="K653" s="16"/>
      <c r="L653" s="14"/>
      <c r="M653" s="16"/>
      <c r="N653" s="14"/>
      <c r="O653" s="6"/>
      <c r="P653" s="6"/>
      <c r="Q653" s="6"/>
    </row>
    <row r="654" spans="1:17" ht="12.75" customHeight="1" x14ac:dyDescent="0.3">
      <c r="A654" s="6"/>
      <c r="B654" s="19">
        <v>651</v>
      </c>
      <c r="C654" s="14"/>
      <c r="D654" s="21">
        <f>NamaPelanggan!D654</f>
        <v>0</v>
      </c>
      <c r="E654" s="14"/>
      <c r="F654" s="16"/>
      <c r="G654" s="16"/>
      <c r="H654" s="16"/>
      <c r="I654" s="16"/>
      <c r="J654" s="16"/>
      <c r="K654" s="16"/>
      <c r="L654" s="14"/>
      <c r="M654" s="16"/>
      <c r="N654" s="14"/>
      <c r="O654" s="6"/>
      <c r="P654" s="6"/>
      <c r="Q654" s="6"/>
    </row>
    <row r="655" spans="1:17" ht="12.75" customHeight="1" x14ac:dyDescent="0.3">
      <c r="A655" s="6"/>
      <c r="B655" s="19">
        <v>652</v>
      </c>
      <c r="C655" s="14"/>
      <c r="D655" s="21">
        <f>NamaPelanggan!D655</f>
        <v>0</v>
      </c>
      <c r="E655" s="14"/>
      <c r="F655" s="16"/>
      <c r="G655" s="16"/>
      <c r="H655" s="16"/>
      <c r="I655" s="16"/>
      <c r="J655" s="16"/>
      <c r="K655" s="16"/>
      <c r="L655" s="14"/>
      <c r="M655" s="16"/>
      <c r="N655" s="14"/>
      <c r="O655" s="6"/>
      <c r="P655" s="6"/>
      <c r="Q655" s="6"/>
    </row>
    <row r="656" spans="1:17" ht="12.75" customHeight="1" x14ac:dyDescent="0.3">
      <c r="A656" s="6"/>
      <c r="B656" s="19">
        <v>653</v>
      </c>
      <c r="C656" s="14"/>
      <c r="D656" s="21">
        <f>NamaPelanggan!D656</f>
        <v>0</v>
      </c>
      <c r="E656" s="14"/>
      <c r="F656" s="16"/>
      <c r="G656" s="16"/>
      <c r="H656" s="16"/>
      <c r="I656" s="16"/>
      <c r="J656" s="16"/>
      <c r="K656" s="16"/>
      <c r="L656" s="14"/>
      <c r="M656" s="16"/>
      <c r="N656" s="14"/>
      <c r="O656" s="6"/>
      <c r="P656" s="6"/>
      <c r="Q656" s="6"/>
    </row>
    <row r="657" spans="1:17" ht="12.75" customHeight="1" x14ac:dyDescent="0.3">
      <c r="A657" s="6"/>
      <c r="B657" s="19">
        <v>654</v>
      </c>
      <c r="C657" s="14"/>
      <c r="D657" s="21">
        <f>NamaPelanggan!D657</f>
        <v>0</v>
      </c>
      <c r="E657" s="14"/>
      <c r="F657" s="16"/>
      <c r="G657" s="16"/>
      <c r="H657" s="16"/>
      <c r="I657" s="16"/>
      <c r="J657" s="16"/>
      <c r="K657" s="16"/>
      <c r="L657" s="14"/>
      <c r="M657" s="16"/>
      <c r="N657" s="14"/>
      <c r="O657" s="6"/>
      <c r="P657" s="6"/>
      <c r="Q657" s="6"/>
    </row>
    <row r="658" spans="1:17" ht="12.75" customHeight="1" x14ac:dyDescent="0.3">
      <c r="A658" s="6"/>
      <c r="B658" s="19">
        <v>655</v>
      </c>
      <c r="C658" s="14"/>
      <c r="D658" s="21">
        <f>NamaPelanggan!D658</f>
        <v>0</v>
      </c>
      <c r="E658" s="14"/>
      <c r="F658" s="16"/>
      <c r="G658" s="16"/>
      <c r="H658" s="16"/>
      <c r="I658" s="16"/>
      <c r="J658" s="16"/>
      <c r="K658" s="16"/>
      <c r="L658" s="14"/>
      <c r="M658" s="16"/>
      <c r="N658" s="14"/>
      <c r="O658" s="6"/>
      <c r="P658" s="6"/>
      <c r="Q658" s="6"/>
    </row>
    <row r="659" spans="1:17" ht="12.75" customHeight="1" x14ac:dyDescent="0.3">
      <c r="A659" s="6"/>
      <c r="B659" s="19">
        <v>656</v>
      </c>
      <c r="C659" s="14"/>
      <c r="D659" s="21">
        <f>NamaPelanggan!D659</f>
        <v>0</v>
      </c>
      <c r="E659" s="14"/>
      <c r="F659" s="16"/>
      <c r="G659" s="16"/>
      <c r="H659" s="16"/>
      <c r="I659" s="16"/>
      <c r="J659" s="16"/>
      <c r="K659" s="16"/>
      <c r="L659" s="14"/>
      <c r="M659" s="16"/>
      <c r="N659" s="14"/>
      <c r="O659" s="6"/>
      <c r="P659" s="6"/>
      <c r="Q659" s="6"/>
    </row>
    <row r="660" spans="1:17" ht="12.75" customHeight="1" x14ac:dyDescent="0.3">
      <c r="A660" s="6"/>
      <c r="B660" s="19">
        <v>657</v>
      </c>
      <c r="C660" s="14"/>
      <c r="D660" s="21">
        <f>NamaPelanggan!D660</f>
        <v>0</v>
      </c>
      <c r="E660" s="14"/>
      <c r="F660" s="16"/>
      <c r="G660" s="16"/>
      <c r="H660" s="16"/>
      <c r="I660" s="16"/>
      <c r="J660" s="16"/>
      <c r="K660" s="16"/>
      <c r="L660" s="14"/>
      <c r="M660" s="16"/>
      <c r="N660" s="14"/>
      <c r="O660" s="6"/>
      <c r="P660" s="6"/>
      <c r="Q660" s="6"/>
    </row>
    <row r="661" spans="1:17" ht="12.75" customHeight="1" x14ac:dyDescent="0.3">
      <c r="A661" s="6"/>
      <c r="B661" s="19">
        <v>658</v>
      </c>
      <c r="C661" s="14"/>
      <c r="D661" s="21">
        <f>NamaPelanggan!D661</f>
        <v>0</v>
      </c>
      <c r="E661" s="14"/>
      <c r="F661" s="16"/>
      <c r="G661" s="16"/>
      <c r="H661" s="16"/>
      <c r="I661" s="16"/>
      <c r="J661" s="16"/>
      <c r="K661" s="16"/>
      <c r="L661" s="14"/>
      <c r="M661" s="16"/>
      <c r="N661" s="14"/>
      <c r="O661" s="6"/>
      <c r="P661" s="6"/>
      <c r="Q661" s="6"/>
    </row>
    <row r="662" spans="1:17" ht="12.75" customHeight="1" x14ac:dyDescent="0.3">
      <c r="A662" s="6"/>
      <c r="B662" s="19">
        <v>659</v>
      </c>
      <c r="C662" s="14"/>
      <c r="D662" s="21">
        <f>NamaPelanggan!D662</f>
        <v>0</v>
      </c>
      <c r="E662" s="14"/>
      <c r="F662" s="16"/>
      <c r="G662" s="16"/>
      <c r="H662" s="16"/>
      <c r="I662" s="16"/>
      <c r="J662" s="16"/>
      <c r="K662" s="16"/>
      <c r="L662" s="14"/>
      <c r="M662" s="16"/>
      <c r="N662" s="14"/>
      <c r="O662" s="6"/>
      <c r="P662" s="6"/>
      <c r="Q662" s="6"/>
    </row>
    <row r="663" spans="1:17" ht="12.75" customHeight="1" x14ac:dyDescent="0.3">
      <c r="A663" s="6"/>
      <c r="B663" s="19">
        <v>660</v>
      </c>
      <c r="C663" s="14"/>
      <c r="D663" s="21">
        <f>NamaPelanggan!D663</f>
        <v>0</v>
      </c>
      <c r="E663" s="14"/>
      <c r="F663" s="16"/>
      <c r="G663" s="16"/>
      <c r="H663" s="16"/>
      <c r="I663" s="16"/>
      <c r="J663" s="16"/>
      <c r="K663" s="16"/>
      <c r="L663" s="14"/>
      <c r="M663" s="16"/>
      <c r="N663" s="14"/>
      <c r="O663" s="6"/>
      <c r="P663" s="6"/>
      <c r="Q663" s="6"/>
    </row>
    <row r="664" spans="1:17" ht="12.75" customHeight="1" x14ac:dyDescent="0.3">
      <c r="A664" s="6"/>
      <c r="B664" s="19">
        <v>661</v>
      </c>
      <c r="C664" s="14"/>
      <c r="D664" s="21">
        <f>NamaPelanggan!D664</f>
        <v>0</v>
      </c>
      <c r="E664" s="14"/>
      <c r="F664" s="16"/>
      <c r="G664" s="16"/>
      <c r="H664" s="16"/>
      <c r="I664" s="16"/>
      <c r="J664" s="16"/>
      <c r="K664" s="16"/>
      <c r="L664" s="14"/>
      <c r="M664" s="16"/>
      <c r="N664" s="14"/>
      <c r="O664" s="6"/>
      <c r="P664" s="6"/>
      <c r="Q664" s="6"/>
    </row>
    <row r="665" spans="1:17" ht="12.75" customHeight="1" x14ac:dyDescent="0.3">
      <c r="A665" s="6"/>
      <c r="B665" s="19">
        <v>662</v>
      </c>
      <c r="C665" s="14"/>
      <c r="D665" s="21">
        <f>NamaPelanggan!D665</f>
        <v>0</v>
      </c>
      <c r="E665" s="14"/>
      <c r="F665" s="16"/>
      <c r="G665" s="16"/>
      <c r="H665" s="16"/>
      <c r="I665" s="16"/>
      <c r="J665" s="16"/>
      <c r="K665" s="16"/>
      <c r="L665" s="14"/>
      <c r="M665" s="16"/>
      <c r="N665" s="14"/>
      <c r="O665" s="6"/>
      <c r="P665" s="6"/>
      <c r="Q665" s="6"/>
    </row>
    <row r="666" spans="1:17" ht="12.75" customHeight="1" x14ac:dyDescent="0.3">
      <c r="A666" s="6"/>
      <c r="B666" s="19">
        <v>663</v>
      </c>
      <c r="C666" s="14"/>
      <c r="D666" s="21">
        <f>NamaPelanggan!D666</f>
        <v>0</v>
      </c>
      <c r="E666" s="14"/>
      <c r="F666" s="16"/>
      <c r="G666" s="16"/>
      <c r="H666" s="16"/>
      <c r="I666" s="16"/>
      <c r="J666" s="16"/>
      <c r="K666" s="16"/>
      <c r="L666" s="14"/>
      <c r="M666" s="16"/>
      <c r="N666" s="14"/>
      <c r="O666" s="6"/>
      <c r="P666" s="6"/>
      <c r="Q666" s="6"/>
    </row>
    <row r="667" spans="1:17" ht="12.75" customHeight="1" x14ac:dyDescent="0.3">
      <c r="A667" s="6"/>
      <c r="B667" s="19">
        <v>664</v>
      </c>
      <c r="C667" s="14"/>
      <c r="D667" s="21">
        <f>NamaPelanggan!D667</f>
        <v>0</v>
      </c>
      <c r="E667" s="14"/>
      <c r="F667" s="16"/>
      <c r="G667" s="16"/>
      <c r="H667" s="16"/>
      <c r="I667" s="16"/>
      <c r="J667" s="16"/>
      <c r="K667" s="16"/>
      <c r="L667" s="14"/>
      <c r="M667" s="16"/>
      <c r="N667" s="14"/>
      <c r="O667" s="6"/>
      <c r="P667" s="6"/>
      <c r="Q667" s="6"/>
    </row>
    <row r="668" spans="1:17" ht="12.75" customHeight="1" x14ac:dyDescent="0.3">
      <c r="A668" s="6"/>
      <c r="B668" s="19">
        <v>665</v>
      </c>
      <c r="C668" s="14"/>
      <c r="D668" s="21">
        <f>NamaPelanggan!D668</f>
        <v>0</v>
      </c>
      <c r="E668" s="14"/>
      <c r="F668" s="16"/>
      <c r="G668" s="16"/>
      <c r="H668" s="16"/>
      <c r="I668" s="16"/>
      <c r="J668" s="16"/>
      <c r="K668" s="16"/>
      <c r="L668" s="14"/>
      <c r="M668" s="16"/>
      <c r="N668" s="14"/>
      <c r="O668" s="6"/>
      <c r="P668" s="6"/>
      <c r="Q668" s="6"/>
    </row>
    <row r="669" spans="1:17" ht="12.75" customHeight="1" x14ac:dyDescent="0.3">
      <c r="A669" s="6"/>
      <c r="B669" s="19">
        <v>666</v>
      </c>
      <c r="C669" s="14"/>
      <c r="D669" s="21">
        <f>NamaPelanggan!D669</f>
        <v>0</v>
      </c>
      <c r="E669" s="14"/>
      <c r="F669" s="16"/>
      <c r="G669" s="16"/>
      <c r="H669" s="16"/>
      <c r="I669" s="16"/>
      <c r="J669" s="16"/>
      <c r="K669" s="16"/>
      <c r="L669" s="14"/>
      <c r="M669" s="16"/>
      <c r="N669" s="14"/>
      <c r="O669" s="6"/>
      <c r="P669" s="6"/>
      <c r="Q669" s="6"/>
    </row>
    <row r="670" spans="1:17" ht="12.75" customHeight="1" x14ac:dyDescent="0.3">
      <c r="A670" s="6"/>
      <c r="B670" s="19">
        <v>667</v>
      </c>
      <c r="C670" s="14"/>
      <c r="D670" s="21">
        <f>NamaPelanggan!D670</f>
        <v>0</v>
      </c>
      <c r="E670" s="14"/>
      <c r="F670" s="16"/>
      <c r="G670" s="16"/>
      <c r="H670" s="16"/>
      <c r="I670" s="16"/>
      <c r="J670" s="16"/>
      <c r="K670" s="16"/>
      <c r="L670" s="14"/>
      <c r="M670" s="16"/>
      <c r="N670" s="14"/>
      <c r="O670" s="6"/>
      <c r="P670" s="6"/>
      <c r="Q670" s="6"/>
    </row>
    <row r="671" spans="1:17" ht="12.75" customHeight="1" x14ac:dyDescent="0.3">
      <c r="A671" s="6"/>
      <c r="B671" s="19">
        <v>668</v>
      </c>
      <c r="C671" s="14"/>
      <c r="D671" s="21">
        <f>NamaPelanggan!D671</f>
        <v>0</v>
      </c>
      <c r="E671" s="14"/>
      <c r="F671" s="16"/>
      <c r="G671" s="16"/>
      <c r="H671" s="16"/>
      <c r="I671" s="16"/>
      <c r="J671" s="16"/>
      <c r="K671" s="16"/>
      <c r="L671" s="14"/>
      <c r="M671" s="16"/>
      <c r="N671" s="14"/>
      <c r="O671" s="6"/>
      <c r="P671" s="6"/>
      <c r="Q671" s="6"/>
    </row>
    <row r="672" spans="1:17" ht="12.75" customHeight="1" x14ac:dyDescent="0.3">
      <c r="A672" s="6"/>
      <c r="B672" s="19">
        <v>669</v>
      </c>
      <c r="C672" s="14"/>
      <c r="D672" s="21">
        <f>NamaPelanggan!D672</f>
        <v>0</v>
      </c>
      <c r="E672" s="14"/>
      <c r="F672" s="16"/>
      <c r="G672" s="16"/>
      <c r="H672" s="16"/>
      <c r="I672" s="16"/>
      <c r="J672" s="16"/>
      <c r="K672" s="16"/>
      <c r="L672" s="14"/>
      <c r="M672" s="16"/>
      <c r="N672" s="14"/>
      <c r="O672" s="6"/>
      <c r="P672" s="6"/>
      <c r="Q672" s="6"/>
    </row>
    <row r="673" spans="1:17" ht="12.75" customHeight="1" x14ac:dyDescent="0.3">
      <c r="A673" s="6"/>
      <c r="B673" s="19">
        <v>670</v>
      </c>
      <c r="C673" s="14"/>
      <c r="D673" s="21">
        <f>NamaPelanggan!D673</f>
        <v>0</v>
      </c>
      <c r="E673" s="14"/>
      <c r="F673" s="16"/>
      <c r="G673" s="16"/>
      <c r="H673" s="16"/>
      <c r="I673" s="16"/>
      <c r="J673" s="16"/>
      <c r="K673" s="16"/>
      <c r="L673" s="14"/>
      <c r="M673" s="16"/>
      <c r="N673" s="14"/>
      <c r="O673" s="6"/>
      <c r="P673" s="6"/>
      <c r="Q673" s="6"/>
    </row>
    <row r="674" spans="1:17" ht="12.75" customHeight="1" x14ac:dyDescent="0.3">
      <c r="A674" s="6"/>
      <c r="B674" s="19">
        <v>671</v>
      </c>
      <c r="C674" s="14"/>
      <c r="D674" s="21">
        <f>NamaPelanggan!D674</f>
        <v>0</v>
      </c>
      <c r="E674" s="14"/>
      <c r="F674" s="16"/>
      <c r="G674" s="16"/>
      <c r="H674" s="16"/>
      <c r="I674" s="16"/>
      <c r="J674" s="16"/>
      <c r="K674" s="16"/>
      <c r="L674" s="14"/>
      <c r="M674" s="16"/>
      <c r="N674" s="14"/>
      <c r="O674" s="6"/>
      <c r="P674" s="6"/>
      <c r="Q674" s="6"/>
    </row>
    <row r="675" spans="1:17" ht="12.75" customHeight="1" x14ac:dyDescent="0.3">
      <c r="A675" s="6"/>
      <c r="B675" s="19">
        <v>672</v>
      </c>
      <c r="C675" s="14"/>
      <c r="D675" s="21">
        <f>NamaPelanggan!D675</f>
        <v>0</v>
      </c>
      <c r="E675" s="14"/>
      <c r="F675" s="16"/>
      <c r="G675" s="16"/>
      <c r="H675" s="16"/>
      <c r="I675" s="16"/>
      <c r="J675" s="16"/>
      <c r="K675" s="16"/>
      <c r="L675" s="14"/>
      <c r="M675" s="16"/>
      <c r="N675" s="14"/>
      <c r="O675" s="6"/>
      <c r="P675" s="6"/>
      <c r="Q675" s="6"/>
    </row>
    <row r="676" spans="1:17" ht="12.75" customHeight="1" x14ac:dyDescent="0.3">
      <c r="A676" s="6"/>
      <c r="B676" s="19">
        <v>673</v>
      </c>
      <c r="C676" s="14"/>
      <c r="D676" s="21">
        <f>NamaPelanggan!D676</f>
        <v>0</v>
      </c>
      <c r="E676" s="14"/>
      <c r="F676" s="16"/>
      <c r="G676" s="16"/>
      <c r="H676" s="16"/>
      <c r="I676" s="16"/>
      <c r="J676" s="16"/>
      <c r="K676" s="16"/>
      <c r="L676" s="14"/>
      <c r="M676" s="16"/>
      <c r="N676" s="14"/>
      <c r="O676" s="6"/>
      <c r="P676" s="6"/>
      <c r="Q676" s="6"/>
    </row>
    <row r="677" spans="1:17" ht="12.75" customHeight="1" x14ac:dyDescent="0.3">
      <c r="A677" s="6"/>
      <c r="B677" s="19">
        <v>674</v>
      </c>
      <c r="C677" s="14"/>
      <c r="D677" s="21">
        <f>NamaPelanggan!D677</f>
        <v>0</v>
      </c>
      <c r="E677" s="14"/>
      <c r="F677" s="16"/>
      <c r="G677" s="16"/>
      <c r="H677" s="16"/>
      <c r="I677" s="16"/>
      <c r="J677" s="16"/>
      <c r="K677" s="16"/>
      <c r="L677" s="14"/>
      <c r="M677" s="16"/>
      <c r="N677" s="14"/>
      <c r="O677" s="6"/>
      <c r="P677" s="6"/>
      <c r="Q677" s="6"/>
    </row>
    <row r="678" spans="1:17" ht="12.75" customHeight="1" x14ac:dyDescent="0.3">
      <c r="A678" s="6"/>
      <c r="B678" s="19">
        <v>675</v>
      </c>
      <c r="C678" s="14"/>
      <c r="D678" s="21">
        <f>NamaPelanggan!D678</f>
        <v>0</v>
      </c>
      <c r="E678" s="14"/>
      <c r="F678" s="16"/>
      <c r="G678" s="16"/>
      <c r="H678" s="16"/>
      <c r="I678" s="16"/>
      <c r="J678" s="16"/>
      <c r="K678" s="16"/>
      <c r="L678" s="14"/>
      <c r="M678" s="16"/>
      <c r="N678" s="14"/>
      <c r="O678" s="6"/>
      <c r="P678" s="6"/>
      <c r="Q678" s="6"/>
    </row>
    <row r="679" spans="1:17" ht="12.75" customHeight="1" x14ac:dyDescent="0.3">
      <c r="A679" s="6"/>
      <c r="B679" s="19">
        <v>676</v>
      </c>
      <c r="C679" s="14"/>
      <c r="D679" s="21">
        <f>NamaPelanggan!D679</f>
        <v>0</v>
      </c>
      <c r="E679" s="14"/>
      <c r="F679" s="16"/>
      <c r="G679" s="16"/>
      <c r="H679" s="16"/>
      <c r="I679" s="16"/>
      <c r="J679" s="16"/>
      <c r="K679" s="16"/>
      <c r="L679" s="14"/>
      <c r="M679" s="16"/>
      <c r="N679" s="14"/>
      <c r="O679" s="6"/>
      <c r="P679" s="6"/>
      <c r="Q679" s="6"/>
    </row>
    <row r="680" spans="1:17" ht="12.75" customHeight="1" x14ac:dyDescent="0.3">
      <c r="A680" s="6"/>
      <c r="B680" s="19">
        <v>677</v>
      </c>
      <c r="C680" s="14"/>
      <c r="D680" s="21">
        <f>NamaPelanggan!D680</f>
        <v>0</v>
      </c>
      <c r="E680" s="14"/>
      <c r="F680" s="16"/>
      <c r="G680" s="16"/>
      <c r="H680" s="16"/>
      <c r="I680" s="16"/>
      <c r="J680" s="16"/>
      <c r="K680" s="16"/>
      <c r="L680" s="14"/>
      <c r="M680" s="16"/>
      <c r="N680" s="14"/>
      <c r="O680" s="6"/>
      <c r="P680" s="6"/>
      <c r="Q680" s="6"/>
    </row>
    <row r="681" spans="1:17" ht="12.75" customHeight="1" x14ac:dyDescent="0.3">
      <c r="A681" s="6"/>
      <c r="B681" s="19">
        <v>678</v>
      </c>
      <c r="C681" s="14"/>
      <c r="D681" s="21">
        <f>NamaPelanggan!D681</f>
        <v>0</v>
      </c>
      <c r="E681" s="14"/>
      <c r="F681" s="16"/>
      <c r="G681" s="16"/>
      <c r="H681" s="16"/>
      <c r="I681" s="16"/>
      <c r="J681" s="16"/>
      <c r="K681" s="16"/>
      <c r="L681" s="14"/>
      <c r="M681" s="16"/>
      <c r="N681" s="14"/>
      <c r="O681" s="6"/>
      <c r="P681" s="6"/>
      <c r="Q681" s="6"/>
    </row>
    <row r="682" spans="1:17" ht="12.75" customHeight="1" x14ac:dyDescent="0.3">
      <c r="A682" s="6"/>
      <c r="B682" s="19">
        <v>679</v>
      </c>
      <c r="C682" s="14"/>
      <c r="D682" s="21">
        <f>NamaPelanggan!D682</f>
        <v>0</v>
      </c>
      <c r="E682" s="14"/>
      <c r="F682" s="16"/>
      <c r="G682" s="16"/>
      <c r="H682" s="16"/>
      <c r="I682" s="16"/>
      <c r="J682" s="16"/>
      <c r="K682" s="16"/>
      <c r="L682" s="14"/>
      <c r="M682" s="16"/>
      <c r="N682" s="14"/>
      <c r="O682" s="6"/>
      <c r="P682" s="6"/>
      <c r="Q682" s="6"/>
    </row>
    <row r="683" spans="1:17" ht="12.75" customHeight="1" x14ac:dyDescent="0.3">
      <c r="A683" s="6"/>
      <c r="B683" s="19">
        <v>680</v>
      </c>
      <c r="C683" s="14"/>
      <c r="D683" s="21">
        <f>NamaPelanggan!D683</f>
        <v>0</v>
      </c>
      <c r="E683" s="14"/>
      <c r="F683" s="16"/>
      <c r="G683" s="16"/>
      <c r="H683" s="16"/>
      <c r="I683" s="16"/>
      <c r="J683" s="16"/>
      <c r="K683" s="16"/>
      <c r="L683" s="14"/>
      <c r="M683" s="16"/>
      <c r="N683" s="14"/>
      <c r="O683" s="6"/>
      <c r="P683" s="6"/>
      <c r="Q683" s="6"/>
    </row>
    <row r="684" spans="1:17" ht="12.75" customHeight="1" x14ac:dyDescent="0.3">
      <c r="A684" s="6"/>
      <c r="B684" s="19">
        <v>681</v>
      </c>
      <c r="C684" s="14"/>
      <c r="D684" s="21">
        <f>NamaPelanggan!D684</f>
        <v>0</v>
      </c>
      <c r="E684" s="14"/>
      <c r="F684" s="16"/>
      <c r="G684" s="16"/>
      <c r="H684" s="16"/>
      <c r="I684" s="16"/>
      <c r="J684" s="16"/>
      <c r="K684" s="16"/>
      <c r="L684" s="14"/>
      <c r="M684" s="16"/>
      <c r="N684" s="14"/>
      <c r="O684" s="6"/>
      <c r="P684" s="6"/>
      <c r="Q684" s="6"/>
    </row>
    <row r="685" spans="1:17" ht="12.75" customHeight="1" x14ac:dyDescent="0.3">
      <c r="A685" s="6"/>
      <c r="B685" s="19">
        <v>682</v>
      </c>
      <c r="C685" s="14"/>
      <c r="D685" s="21">
        <f>NamaPelanggan!D685</f>
        <v>0</v>
      </c>
      <c r="E685" s="14"/>
      <c r="F685" s="16"/>
      <c r="G685" s="16"/>
      <c r="H685" s="16"/>
      <c r="I685" s="16"/>
      <c r="J685" s="16"/>
      <c r="K685" s="16"/>
      <c r="L685" s="14"/>
      <c r="M685" s="16"/>
      <c r="N685" s="14"/>
      <c r="O685" s="6"/>
      <c r="P685" s="6"/>
      <c r="Q685" s="6"/>
    </row>
    <row r="686" spans="1:17" ht="12.75" customHeight="1" x14ac:dyDescent="0.3">
      <c r="A686" s="6"/>
      <c r="B686" s="19">
        <v>683</v>
      </c>
      <c r="C686" s="14"/>
      <c r="D686" s="21">
        <f>NamaPelanggan!D686</f>
        <v>0</v>
      </c>
      <c r="E686" s="14"/>
      <c r="F686" s="16"/>
      <c r="G686" s="16"/>
      <c r="H686" s="16"/>
      <c r="I686" s="16"/>
      <c r="J686" s="16"/>
      <c r="K686" s="16"/>
      <c r="L686" s="14"/>
      <c r="M686" s="16"/>
      <c r="N686" s="14"/>
      <c r="O686" s="6"/>
      <c r="P686" s="6"/>
      <c r="Q686" s="6"/>
    </row>
    <row r="687" spans="1:17" ht="12.75" customHeight="1" x14ac:dyDescent="0.3">
      <c r="A687" s="6"/>
      <c r="B687" s="19">
        <v>684</v>
      </c>
      <c r="C687" s="14"/>
      <c r="D687" s="21">
        <f>NamaPelanggan!D687</f>
        <v>0</v>
      </c>
      <c r="E687" s="14"/>
      <c r="F687" s="16"/>
      <c r="G687" s="16"/>
      <c r="H687" s="16"/>
      <c r="I687" s="16"/>
      <c r="J687" s="16"/>
      <c r="K687" s="16"/>
      <c r="L687" s="14"/>
      <c r="M687" s="16"/>
      <c r="N687" s="14"/>
      <c r="O687" s="6"/>
      <c r="P687" s="6"/>
      <c r="Q687" s="6"/>
    </row>
    <row r="688" spans="1:17" ht="12.75" customHeight="1" x14ac:dyDescent="0.3">
      <c r="A688" s="6"/>
      <c r="B688" s="19">
        <v>685</v>
      </c>
      <c r="C688" s="14"/>
      <c r="D688" s="21">
        <f>NamaPelanggan!D688</f>
        <v>0</v>
      </c>
      <c r="E688" s="14"/>
      <c r="F688" s="16"/>
      <c r="G688" s="16"/>
      <c r="H688" s="16"/>
      <c r="I688" s="16"/>
      <c r="J688" s="16"/>
      <c r="K688" s="16"/>
      <c r="L688" s="14"/>
      <c r="M688" s="16"/>
      <c r="N688" s="14"/>
      <c r="O688" s="6"/>
      <c r="P688" s="6"/>
      <c r="Q688" s="6"/>
    </row>
    <row r="689" spans="1:17" ht="12.75" customHeight="1" x14ac:dyDescent="0.3">
      <c r="A689" s="6"/>
      <c r="B689" s="19">
        <v>686</v>
      </c>
      <c r="C689" s="14"/>
      <c r="D689" s="21">
        <f>NamaPelanggan!D689</f>
        <v>0</v>
      </c>
      <c r="E689" s="14"/>
      <c r="F689" s="16"/>
      <c r="G689" s="16"/>
      <c r="H689" s="16"/>
      <c r="I689" s="16"/>
      <c r="J689" s="16"/>
      <c r="K689" s="16"/>
      <c r="L689" s="14"/>
      <c r="M689" s="16"/>
      <c r="N689" s="14"/>
      <c r="O689" s="6"/>
      <c r="P689" s="6"/>
      <c r="Q689" s="6"/>
    </row>
    <row r="690" spans="1:17" ht="12.75" customHeight="1" x14ac:dyDescent="0.3">
      <c r="A690" s="6"/>
      <c r="B690" s="19">
        <v>687</v>
      </c>
      <c r="C690" s="14"/>
      <c r="D690" s="21">
        <f>NamaPelanggan!D690</f>
        <v>0</v>
      </c>
      <c r="E690" s="14"/>
      <c r="F690" s="16"/>
      <c r="G690" s="16"/>
      <c r="H690" s="16"/>
      <c r="I690" s="16"/>
      <c r="J690" s="16"/>
      <c r="K690" s="16"/>
      <c r="L690" s="14"/>
      <c r="M690" s="16"/>
      <c r="N690" s="14"/>
      <c r="O690" s="6"/>
      <c r="P690" s="6"/>
      <c r="Q690" s="6"/>
    </row>
    <row r="691" spans="1:17" ht="12.75" customHeight="1" x14ac:dyDescent="0.3">
      <c r="A691" s="6"/>
      <c r="B691" s="19">
        <v>688</v>
      </c>
      <c r="C691" s="14"/>
      <c r="D691" s="21">
        <f>NamaPelanggan!D691</f>
        <v>0</v>
      </c>
      <c r="E691" s="14"/>
      <c r="F691" s="16"/>
      <c r="G691" s="16"/>
      <c r="H691" s="16"/>
      <c r="I691" s="16"/>
      <c r="J691" s="16"/>
      <c r="K691" s="16"/>
      <c r="L691" s="14"/>
      <c r="M691" s="16"/>
      <c r="N691" s="14"/>
      <c r="O691" s="6"/>
      <c r="P691" s="6"/>
      <c r="Q691" s="6"/>
    </row>
    <row r="692" spans="1:17" ht="12.75" customHeight="1" x14ac:dyDescent="0.3">
      <c r="A692" s="6"/>
      <c r="B692" s="19">
        <v>689</v>
      </c>
      <c r="C692" s="14"/>
      <c r="D692" s="21">
        <f>NamaPelanggan!D692</f>
        <v>0</v>
      </c>
      <c r="E692" s="14"/>
      <c r="F692" s="16"/>
      <c r="G692" s="16"/>
      <c r="H692" s="16"/>
      <c r="I692" s="16"/>
      <c r="J692" s="16"/>
      <c r="K692" s="16"/>
      <c r="L692" s="14"/>
      <c r="M692" s="16"/>
      <c r="N692" s="14"/>
      <c r="O692" s="6"/>
      <c r="P692" s="6"/>
      <c r="Q692" s="6"/>
    </row>
    <row r="693" spans="1:17" ht="12.75" customHeight="1" x14ac:dyDescent="0.3">
      <c r="A693" s="6"/>
      <c r="B693" s="19">
        <v>690</v>
      </c>
      <c r="C693" s="14"/>
      <c r="D693" s="21">
        <f>NamaPelanggan!D693</f>
        <v>0</v>
      </c>
      <c r="E693" s="14"/>
      <c r="F693" s="16"/>
      <c r="G693" s="16"/>
      <c r="H693" s="16"/>
      <c r="I693" s="16"/>
      <c r="J693" s="16"/>
      <c r="K693" s="16"/>
      <c r="L693" s="14"/>
      <c r="M693" s="16"/>
      <c r="N693" s="14"/>
      <c r="O693" s="6"/>
      <c r="P693" s="6"/>
      <c r="Q693" s="6"/>
    </row>
    <row r="694" spans="1:17" ht="12.75" customHeight="1" x14ac:dyDescent="0.3">
      <c r="A694" s="6"/>
      <c r="B694" s="19">
        <v>691</v>
      </c>
      <c r="C694" s="14"/>
      <c r="D694" s="21">
        <f>NamaPelanggan!D694</f>
        <v>0</v>
      </c>
      <c r="E694" s="14"/>
      <c r="F694" s="16"/>
      <c r="G694" s="16"/>
      <c r="H694" s="16"/>
      <c r="I694" s="16"/>
      <c r="J694" s="16"/>
      <c r="K694" s="16"/>
      <c r="L694" s="14"/>
      <c r="M694" s="16"/>
      <c r="N694" s="14"/>
      <c r="O694" s="6"/>
      <c r="P694" s="6"/>
      <c r="Q694" s="6"/>
    </row>
    <row r="695" spans="1:17" ht="12.75" customHeight="1" x14ac:dyDescent="0.3">
      <c r="A695" s="6"/>
      <c r="B695" s="19">
        <v>692</v>
      </c>
      <c r="C695" s="14"/>
      <c r="D695" s="21">
        <f>NamaPelanggan!D695</f>
        <v>0</v>
      </c>
      <c r="E695" s="14"/>
      <c r="F695" s="16"/>
      <c r="G695" s="16"/>
      <c r="H695" s="16"/>
      <c r="I695" s="16"/>
      <c r="J695" s="16"/>
      <c r="K695" s="16"/>
      <c r="L695" s="14"/>
      <c r="M695" s="16"/>
      <c r="N695" s="14"/>
      <c r="O695" s="6"/>
      <c r="P695" s="6"/>
      <c r="Q695" s="6"/>
    </row>
    <row r="696" spans="1:17" ht="12.75" customHeight="1" x14ac:dyDescent="0.3">
      <c r="A696" s="6"/>
      <c r="B696" s="19">
        <v>693</v>
      </c>
      <c r="C696" s="14"/>
      <c r="D696" s="21">
        <f>NamaPelanggan!D696</f>
        <v>0</v>
      </c>
      <c r="E696" s="14"/>
      <c r="F696" s="16"/>
      <c r="G696" s="16"/>
      <c r="H696" s="16"/>
      <c r="I696" s="16"/>
      <c r="J696" s="16"/>
      <c r="K696" s="16"/>
      <c r="L696" s="14"/>
      <c r="M696" s="16"/>
      <c r="N696" s="14"/>
      <c r="O696" s="6"/>
      <c r="P696" s="6"/>
      <c r="Q696" s="6"/>
    </row>
    <row r="697" spans="1:17" ht="12.75" customHeight="1" x14ac:dyDescent="0.3">
      <c r="A697" s="6"/>
      <c r="B697" s="19">
        <v>694</v>
      </c>
      <c r="C697" s="14"/>
      <c r="D697" s="21">
        <f>NamaPelanggan!D697</f>
        <v>0</v>
      </c>
      <c r="E697" s="14"/>
      <c r="F697" s="16"/>
      <c r="G697" s="16"/>
      <c r="H697" s="16"/>
      <c r="I697" s="16"/>
      <c r="J697" s="16"/>
      <c r="K697" s="16"/>
      <c r="L697" s="14"/>
      <c r="M697" s="16"/>
      <c r="N697" s="14"/>
      <c r="O697" s="6"/>
      <c r="P697" s="6"/>
      <c r="Q697" s="6"/>
    </row>
    <row r="698" spans="1:17" ht="12.75" customHeight="1" x14ac:dyDescent="0.3">
      <c r="A698" s="6"/>
      <c r="B698" s="19">
        <v>695</v>
      </c>
      <c r="C698" s="14"/>
      <c r="D698" s="21">
        <f>NamaPelanggan!D698</f>
        <v>0</v>
      </c>
      <c r="E698" s="14"/>
      <c r="F698" s="16"/>
      <c r="G698" s="16"/>
      <c r="H698" s="16"/>
      <c r="I698" s="16"/>
      <c r="J698" s="16"/>
      <c r="K698" s="16"/>
      <c r="L698" s="14"/>
      <c r="M698" s="16"/>
      <c r="N698" s="14"/>
      <c r="O698" s="6"/>
      <c r="P698" s="6"/>
      <c r="Q698" s="6"/>
    </row>
    <row r="699" spans="1:17" ht="12.75" customHeight="1" x14ac:dyDescent="0.3">
      <c r="A699" s="6"/>
      <c r="B699" s="19">
        <v>696</v>
      </c>
      <c r="C699" s="14"/>
      <c r="D699" s="21">
        <f>NamaPelanggan!D699</f>
        <v>0</v>
      </c>
      <c r="E699" s="14"/>
      <c r="F699" s="16"/>
      <c r="G699" s="16"/>
      <c r="H699" s="16"/>
      <c r="I699" s="16"/>
      <c r="J699" s="16"/>
      <c r="K699" s="16"/>
      <c r="L699" s="14"/>
      <c r="M699" s="16"/>
      <c r="N699" s="14"/>
      <c r="O699" s="6"/>
      <c r="P699" s="6"/>
      <c r="Q699" s="6"/>
    </row>
    <row r="700" spans="1:17" ht="12.75" customHeight="1" x14ac:dyDescent="0.3">
      <c r="A700" s="6"/>
      <c r="B700" s="19">
        <v>697</v>
      </c>
      <c r="C700" s="14"/>
      <c r="D700" s="21">
        <f>NamaPelanggan!D700</f>
        <v>0</v>
      </c>
      <c r="E700" s="14"/>
      <c r="F700" s="16"/>
      <c r="G700" s="16"/>
      <c r="H700" s="16"/>
      <c r="I700" s="16"/>
      <c r="J700" s="16"/>
      <c r="K700" s="16"/>
      <c r="L700" s="14"/>
      <c r="M700" s="16"/>
      <c r="N700" s="14"/>
      <c r="O700" s="6"/>
      <c r="P700" s="6"/>
      <c r="Q700" s="6"/>
    </row>
    <row r="701" spans="1:17" ht="12.75" customHeight="1" x14ac:dyDescent="0.3">
      <c r="A701" s="6"/>
      <c r="B701" s="19">
        <v>698</v>
      </c>
      <c r="C701" s="14"/>
      <c r="D701" s="21">
        <f>NamaPelanggan!D701</f>
        <v>0</v>
      </c>
      <c r="E701" s="14"/>
      <c r="F701" s="16"/>
      <c r="G701" s="16"/>
      <c r="H701" s="16"/>
      <c r="I701" s="16"/>
      <c r="J701" s="16"/>
      <c r="K701" s="16"/>
      <c r="L701" s="14"/>
      <c r="M701" s="16"/>
      <c r="N701" s="14"/>
      <c r="O701" s="6"/>
      <c r="P701" s="6"/>
      <c r="Q701" s="6"/>
    </row>
    <row r="702" spans="1:17" ht="12.75" customHeight="1" x14ac:dyDescent="0.3">
      <c r="A702" s="6"/>
      <c r="B702" s="19">
        <v>699</v>
      </c>
      <c r="C702" s="14"/>
      <c r="D702" s="21">
        <f>NamaPelanggan!D702</f>
        <v>0</v>
      </c>
      <c r="E702" s="14"/>
      <c r="F702" s="16"/>
      <c r="G702" s="16"/>
      <c r="H702" s="16"/>
      <c r="I702" s="16"/>
      <c r="J702" s="16"/>
      <c r="K702" s="16"/>
      <c r="L702" s="14"/>
      <c r="M702" s="16"/>
      <c r="N702" s="14"/>
      <c r="O702" s="6"/>
      <c r="P702" s="6"/>
      <c r="Q702" s="6"/>
    </row>
    <row r="703" spans="1:17" ht="12.75" customHeight="1" x14ac:dyDescent="0.3">
      <c r="A703" s="6"/>
      <c r="B703" s="19">
        <v>700</v>
      </c>
      <c r="C703" s="14"/>
      <c r="D703" s="21">
        <f>NamaPelanggan!D703</f>
        <v>0</v>
      </c>
      <c r="E703" s="14"/>
      <c r="F703" s="16"/>
      <c r="G703" s="16"/>
      <c r="H703" s="16"/>
      <c r="I703" s="16"/>
      <c r="J703" s="16"/>
      <c r="K703" s="16"/>
      <c r="L703" s="14"/>
      <c r="M703" s="16"/>
      <c r="N703" s="14"/>
      <c r="O703" s="6"/>
      <c r="P703" s="6"/>
      <c r="Q703" s="6"/>
    </row>
    <row r="704" spans="1:17" ht="12.75" customHeight="1" x14ac:dyDescent="0.3">
      <c r="A704" s="6"/>
      <c r="B704" s="19">
        <v>701</v>
      </c>
      <c r="C704" s="14"/>
      <c r="D704" s="21">
        <f>NamaPelanggan!D704</f>
        <v>0</v>
      </c>
      <c r="E704" s="14"/>
      <c r="F704" s="16"/>
      <c r="G704" s="16"/>
      <c r="H704" s="16"/>
      <c r="I704" s="16"/>
      <c r="J704" s="16"/>
      <c r="K704" s="16"/>
      <c r="L704" s="14"/>
      <c r="M704" s="16"/>
      <c r="N704" s="14"/>
      <c r="O704" s="6"/>
      <c r="P704" s="6"/>
      <c r="Q704" s="6"/>
    </row>
    <row r="705" spans="1:17" ht="12.75" customHeight="1" x14ac:dyDescent="0.3">
      <c r="A705" s="6"/>
      <c r="B705" s="19">
        <v>702</v>
      </c>
      <c r="C705" s="14"/>
      <c r="D705" s="21">
        <f>NamaPelanggan!D705</f>
        <v>0</v>
      </c>
      <c r="E705" s="14"/>
      <c r="F705" s="16"/>
      <c r="G705" s="16"/>
      <c r="H705" s="16"/>
      <c r="I705" s="16"/>
      <c r="J705" s="16"/>
      <c r="K705" s="16"/>
      <c r="L705" s="14"/>
      <c r="M705" s="16"/>
      <c r="N705" s="14"/>
      <c r="O705" s="6"/>
      <c r="P705" s="6"/>
      <c r="Q705" s="6"/>
    </row>
    <row r="706" spans="1:17" ht="12.75" customHeight="1" x14ac:dyDescent="0.3">
      <c r="A706" s="6"/>
      <c r="B706" s="19">
        <v>703</v>
      </c>
      <c r="C706" s="14"/>
      <c r="D706" s="21">
        <f>NamaPelanggan!D706</f>
        <v>0</v>
      </c>
      <c r="E706" s="14"/>
      <c r="F706" s="16"/>
      <c r="G706" s="16"/>
      <c r="H706" s="16"/>
      <c r="I706" s="16"/>
      <c r="J706" s="16"/>
      <c r="K706" s="16"/>
      <c r="L706" s="14"/>
      <c r="M706" s="16"/>
      <c r="N706" s="14"/>
      <c r="O706" s="6"/>
      <c r="P706" s="6"/>
      <c r="Q706" s="6"/>
    </row>
    <row r="707" spans="1:17" ht="12.75" customHeight="1" x14ac:dyDescent="0.3">
      <c r="A707" s="6"/>
      <c r="B707" s="19">
        <v>704</v>
      </c>
      <c r="C707" s="14"/>
      <c r="D707" s="21">
        <f>NamaPelanggan!D707</f>
        <v>0</v>
      </c>
      <c r="E707" s="14"/>
      <c r="F707" s="16"/>
      <c r="G707" s="16"/>
      <c r="H707" s="16"/>
      <c r="I707" s="16"/>
      <c r="J707" s="16"/>
      <c r="K707" s="16"/>
      <c r="L707" s="14"/>
      <c r="M707" s="16"/>
      <c r="N707" s="14"/>
      <c r="O707" s="6"/>
      <c r="P707" s="6"/>
      <c r="Q707" s="6"/>
    </row>
    <row r="708" spans="1:17" ht="12.75" customHeight="1" x14ac:dyDescent="0.3">
      <c r="A708" s="6"/>
      <c r="B708" s="19">
        <v>705</v>
      </c>
      <c r="C708" s="14"/>
      <c r="D708" s="21">
        <f>NamaPelanggan!D708</f>
        <v>0</v>
      </c>
      <c r="E708" s="14"/>
      <c r="F708" s="16"/>
      <c r="G708" s="16"/>
      <c r="H708" s="16"/>
      <c r="I708" s="16"/>
      <c r="J708" s="16"/>
      <c r="K708" s="16"/>
      <c r="L708" s="14"/>
      <c r="M708" s="16"/>
      <c r="N708" s="14"/>
      <c r="O708" s="6"/>
      <c r="P708" s="6"/>
      <c r="Q708" s="6"/>
    </row>
    <row r="709" spans="1:17" ht="12.75" customHeight="1" x14ac:dyDescent="0.3">
      <c r="A709" s="6"/>
      <c r="B709" s="19">
        <v>706</v>
      </c>
      <c r="C709" s="14"/>
      <c r="D709" s="21">
        <f>NamaPelanggan!D709</f>
        <v>0</v>
      </c>
      <c r="E709" s="14"/>
      <c r="F709" s="16"/>
      <c r="G709" s="16"/>
      <c r="H709" s="16"/>
      <c r="I709" s="16"/>
      <c r="J709" s="16"/>
      <c r="K709" s="16"/>
      <c r="L709" s="14"/>
      <c r="M709" s="16"/>
      <c r="N709" s="14"/>
      <c r="O709" s="6"/>
      <c r="P709" s="6"/>
      <c r="Q709" s="6"/>
    </row>
    <row r="710" spans="1:17" ht="12.75" customHeight="1" x14ac:dyDescent="0.3">
      <c r="A710" s="6"/>
      <c r="B710" s="19">
        <v>707</v>
      </c>
      <c r="C710" s="14"/>
      <c r="D710" s="21">
        <f>NamaPelanggan!D710</f>
        <v>0</v>
      </c>
      <c r="E710" s="14"/>
      <c r="F710" s="16"/>
      <c r="G710" s="16"/>
      <c r="H710" s="16"/>
      <c r="I710" s="16"/>
      <c r="J710" s="16"/>
      <c r="K710" s="16"/>
      <c r="L710" s="14"/>
      <c r="M710" s="16"/>
      <c r="N710" s="14"/>
      <c r="O710" s="6"/>
      <c r="P710" s="6"/>
      <c r="Q710" s="6"/>
    </row>
    <row r="711" spans="1:17" ht="12.75" customHeight="1" x14ac:dyDescent="0.3">
      <c r="A711" s="6"/>
      <c r="B711" s="19">
        <v>708</v>
      </c>
      <c r="C711" s="14"/>
      <c r="D711" s="21">
        <f>NamaPelanggan!D711</f>
        <v>0</v>
      </c>
      <c r="E711" s="14"/>
      <c r="F711" s="16"/>
      <c r="G711" s="16"/>
      <c r="H711" s="16"/>
      <c r="I711" s="16"/>
      <c r="J711" s="16"/>
      <c r="K711" s="16"/>
      <c r="L711" s="14"/>
      <c r="M711" s="16"/>
      <c r="N711" s="14"/>
      <c r="O711" s="6"/>
      <c r="P711" s="6"/>
      <c r="Q711" s="6"/>
    </row>
    <row r="712" spans="1:17" ht="12.75" customHeight="1" x14ac:dyDescent="0.3">
      <c r="A712" s="6"/>
      <c r="B712" s="19">
        <v>709</v>
      </c>
      <c r="C712" s="14"/>
      <c r="D712" s="21">
        <f>NamaPelanggan!D712</f>
        <v>0</v>
      </c>
      <c r="E712" s="14"/>
      <c r="F712" s="16"/>
      <c r="G712" s="16"/>
      <c r="H712" s="16"/>
      <c r="I712" s="16"/>
      <c r="J712" s="16"/>
      <c r="K712" s="16"/>
      <c r="L712" s="14"/>
      <c r="M712" s="16"/>
      <c r="N712" s="14"/>
      <c r="O712" s="6"/>
      <c r="P712" s="6"/>
      <c r="Q712" s="6"/>
    </row>
    <row r="713" spans="1:17" ht="12.75" customHeight="1" x14ac:dyDescent="0.3">
      <c r="A713" s="6"/>
      <c r="B713" s="19">
        <v>710</v>
      </c>
      <c r="C713" s="14"/>
      <c r="D713" s="21">
        <f>NamaPelanggan!D713</f>
        <v>0</v>
      </c>
      <c r="E713" s="14"/>
      <c r="F713" s="16"/>
      <c r="G713" s="16"/>
      <c r="H713" s="16"/>
      <c r="I713" s="16"/>
      <c r="J713" s="16"/>
      <c r="K713" s="16"/>
      <c r="L713" s="14"/>
      <c r="M713" s="16"/>
      <c r="N713" s="14"/>
      <c r="O713" s="6"/>
      <c r="P713" s="6"/>
      <c r="Q713" s="6"/>
    </row>
    <row r="714" spans="1:17" ht="12.75" customHeight="1" x14ac:dyDescent="0.3">
      <c r="A714" s="6"/>
      <c r="B714" s="19">
        <v>711</v>
      </c>
      <c r="C714" s="14"/>
      <c r="D714" s="21">
        <f>NamaPelanggan!D714</f>
        <v>0</v>
      </c>
      <c r="E714" s="14"/>
      <c r="F714" s="16"/>
      <c r="G714" s="16"/>
      <c r="H714" s="16"/>
      <c r="I714" s="16"/>
      <c r="J714" s="16"/>
      <c r="K714" s="16"/>
      <c r="L714" s="14"/>
      <c r="M714" s="16"/>
      <c r="N714" s="14"/>
      <c r="O714" s="6"/>
      <c r="P714" s="6"/>
      <c r="Q714" s="6"/>
    </row>
    <row r="715" spans="1:17" ht="12.75" customHeight="1" x14ac:dyDescent="0.3">
      <c r="A715" s="6"/>
      <c r="B715" s="19">
        <v>712</v>
      </c>
      <c r="C715" s="14"/>
      <c r="D715" s="21">
        <f>NamaPelanggan!D715</f>
        <v>0</v>
      </c>
      <c r="E715" s="14"/>
      <c r="F715" s="16"/>
      <c r="G715" s="16"/>
      <c r="H715" s="16"/>
      <c r="I715" s="16"/>
      <c r="J715" s="16"/>
      <c r="K715" s="16"/>
      <c r="L715" s="14"/>
      <c r="M715" s="16"/>
      <c r="N715" s="14"/>
      <c r="O715" s="6"/>
      <c r="P715" s="6"/>
      <c r="Q715" s="6"/>
    </row>
    <row r="716" spans="1:17" ht="12.75" customHeight="1" x14ac:dyDescent="0.3">
      <c r="A716" s="6"/>
      <c r="B716" s="19">
        <v>713</v>
      </c>
      <c r="C716" s="14"/>
      <c r="D716" s="21">
        <f>NamaPelanggan!D716</f>
        <v>0</v>
      </c>
      <c r="E716" s="14"/>
      <c r="F716" s="16"/>
      <c r="G716" s="16"/>
      <c r="H716" s="16"/>
      <c r="I716" s="16"/>
      <c r="J716" s="16"/>
      <c r="K716" s="16"/>
      <c r="L716" s="14"/>
      <c r="M716" s="16"/>
      <c r="N716" s="14"/>
      <c r="O716" s="6"/>
      <c r="P716" s="6"/>
      <c r="Q716" s="6"/>
    </row>
    <row r="717" spans="1:17" ht="12.75" customHeight="1" x14ac:dyDescent="0.3">
      <c r="A717" s="6"/>
      <c r="B717" s="19">
        <v>714</v>
      </c>
      <c r="C717" s="14"/>
      <c r="D717" s="21">
        <f>NamaPelanggan!D717</f>
        <v>0</v>
      </c>
      <c r="E717" s="14"/>
      <c r="F717" s="16"/>
      <c r="G717" s="16"/>
      <c r="H717" s="16"/>
      <c r="I717" s="16"/>
      <c r="J717" s="16"/>
      <c r="K717" s="16"/>
      <c r="L717" s="14"/>
      <c r="M717" s="16"/>
      <c r="N717" s="14"/>
      <c r="O717" s="6"/>
      <c r="P717" s="6"/>
      <c r="Q717" s="6"/>
    </row>
    <row r="718" spans="1:17" ht="12.75" customHeight="1" x14ac:dyDescent="0.3">
      <c r="A718" s="6"/>
      <c r="B718" s="19">
        <v>715</v>
      </c>
      <c r="C718" s="14"/>
      <c r="D718" s="21">
        <f>NamaPelanggan!D718</f>
        <v>0</v>
      </c>
      <c r="E718" s="14"/>
      <c r="F718" s="16"/>
      <c r="G718" s="16"/>
      <c r="H718" s="16"/>
      <c r="I718" s="16"/>
      <c r="J718" s="16"/>
      <c r="K718" s="16"/>
      <c r="L718" s="14"/>
      <c r="M718" s="16"/>
      <c r="N718" s="14"/>
      <c r="O718" s="6"/>
      <c r="P718" s="6"/>
      <c r="Q718" s="6"/>
    </row>
    <row r="719" spans="1:17" ht="12.75" customHeight="1" x14ac:dyDescent="0.3">
      <c r="A719" s="6"/>
      <c r="B719" s="19">
        <v>716</v>
      </c>
      <c r="C719" s="14"/>
      <c r="D719" s="21">
        <f>NamaPelanggan!D719</f>
        <v>0</v>
      </c>
      <c r="E719" s="14"/>
      <c r="F719" s="16"/>
      <c r="G719" s="16"/>
      <c r="H719" s="16"/>
      <c r="I719" s="16"/>
      <c r="J719" s="16"/>
      <c r="K719" s="16"/>
      <c r="L719" s="14"/>
      <c r="M719" s="16"/>
      <c r="N719" s="14"/>
      <c r="O719" s="6"/>
      <c r="P719" s="6"/>
      <c r="Q719" s="6"/>
    </row>
    <row r="720" spans="1:17" ht="12.75" customHeight="1" x14ac:dyDescent="0.3">
      <c r="A720" s="6"/>
      <c r="B720" s="19">
        <v>717</v>
      </c>
      <c r="C720" s="14"/>
      <c r="D720" s="21">
        <f>NamaPelanggan!D720</f>
        <v>0</v>
      </c>
      <c r="E720" s="14"/>
      <c r="F720" s="16"/>
      <c r="G720" s="16"/>
      <c r="H720" s="16"/>
      <c r="I720" s="16"/>
      <c r="J720" s="16"/>
      <c r="K720" s="16"/>
      <c r="L720" s="14"/>
      <c r="M720" s="16"/>
      <c r="N720" s="14"/>
      <c r="O720" s="6"/>
      <c r="P720" s="6"/>
      <c r="Q720" s="6"/>
    </row>
    <row r="721" spans="1:17" ht="12.75" customHeight="1" x14ac:dyDescent="0.3">
      <c r="A721" s="6"/>
      <c r="B721" s="19">
        <v>718</v>
      </c>
      <c r="C721" s="14"/>
      <c r="D721" s="21">
        <f>NamaPelanggan!D721</f>
        <v>0</v>
      </c>
      <c r="E721" s="14"/>
      <c r="F721" s="16"/>
      <c r="G721" s="16"/>
      <c r="H721" s="16"/>
      <c r="I721" s="16"/>
      <c r="J721" s="16"/>
      <c r="K721" s="16"/>
      <c r="L721" s="14"/>
      <c r="M721" s="16"/>
      <c r="N721" s="14"/>
      <c r="O721" s="6"/>
      <c r="P721" s="6"/>
      <c r="Q721" s="6"/>
    </row>
    <row r="722" spans="1:17" ht="12.75" customHeight="1" x14ac:dyDescent="0.3">
      <c r="A722" s="6"/>
      <c r="B722" s="19">
        <v>719</v>
      </c>
      <c r="C722" s="14"/>
      <c r="D722" s="21">
        <f>NamaPelanggan!D722</f>
        <v>0</v>
      </c>
      <c r="E722" s="14"/>
      <c r="F722" s="16"/>
      <c r="G722" s="16"/>
      <c r="H722" s="16"/>
      <c r="I722" s="16"/>
      <c r="J722" s="16"/>
      <c r="K722" s="16"/>
      <c r="L722" s="14"/>
      <c r="M722" s="16"/>
      <c r="N722" s="14"/>
      <c r="O722" s="6"/>
      <c r="P722" s="6"/>
      <c r="Q722" s="6"/>
    </row>
    <row r="723" spans="1:17" ht="12.75" customHeight="1" x14ac:dyDescent="0.3">
      <c r="A723" s="6"/>
      <c r="B723" s="19">
        <v>720</v>
      </c>
      <c r="C723" s="14"/>
      <c r="D723" s="21">
        <f>NamaPelanggan!D723</f>
        <v>0</v>
      </c>
      <c r="E723" s="14"/>
      <c r="F723" s="16"/>
      <c r="G723" s="16"/>
      <c r="H723" s="16"/>
      <c r="I723" s="16"/>
      <c r="J723" s="16"/>
      <c r="K723" s="16"/>
      <c r="L723" s="14"/>
      <c r="M723" s="16"/>
      <c r="N723" s="14"/>
      <c r="O723" s="6"/>
      <c r="P723" s="6"/>
      <c r="Q723" s="6"/>
    </row>
    <row r="724" spans="1:17" ht="12.75" customHeight="1" x14ac:dyDescent="0.3">
      <c r="A724" s="6"/>
      <c r="B724" s="19">
        <v>721</v>
      </c>
      <c r="C724" s="14"/>
      <c r="D724" s="21">
        <f>NamaPelanggan!D724</f>
        <v>0</v>
      </c>
      <c r="E724" s="14"/>
      <c r="F724" s="16"/>
      <c r="G724" s="16"/>
      <c r="H724" s="16"/>
      <c r="I724" s="16"/>
      <c r="J724" s="16"/>
      <c r="K724" s="16"/>
      <c r="L724" s="14"/>
      <c r="M724" s="16"/>
      <c r="N724" s="14"/>
      <c r="O724" s="6"/>
      <c r="P724" s="6"/>
      <c r="Q724" s="6"/>
    </row>
    <row r="725" spans="1:17" ht="12.75" customHeight="1" x14ac:dyDescent="0.3">
      <c r="A725" s="6"/>
      <c r="B725" s="19">
        <v>722</v>
      </c>
      <c r="C725" s="14"/>
      <c r="D725" s="21">
        <f>NamaPelanggan!D725</f>
        <v>0</v>
      </c>
      <c r="E725" s="14"/>
      <c r="F725" s="16"/>
      <c r="G725" s="16"/>
      <c r="H725" s="16"/>
      <c r="I725" s="16"/>
      <c r="J725" s="16"/>
      <c r="K725" s="16"/>
      <c r="L725" s="14"/>
      <c r="M725" s="16"/>
      <c r="N725" s="14"/>
      <c r="O725" s="6"/>
      <c r="P725" s="6"/>
      <c r="Q725" s="6"/>
    </row>
    <row r="726" spans="1:17" ht="12.75" customHeight="1" x14ac:dyDescent="0.3">
      <c r="A726" s="6"/>
      <c r="B726" s="19">
        <v>723</v>
      </c>
      <c r="C726" s="14"/>
      <c r="D726" s="21">
        <f>NamaPelanggan!D726</f>
        <v>0</v>
      </c>
      <c r="E726" s="14"/>
      <c r="F726" s="16"/>
      <c r="G726" s="16"/>
      <c r="H726" s="16"/>
      <c r="I726" s="16"/>
      <c r="J726" s="16"/>
      <c r="K726" s="16"/>
      <c r="L726" s="14"/>
      <c r="M726" s="16"/>
      <c r="N726" s="14"/>
      <c r="O726" s="6"/>
      <c r="P726" s="6"/>
      <c r="Q726" s="6"/>
    </row>
    <row r="727" spans="1:17" ht="12.75" customHeight="1" x14ac:dyDescent="0.3">
      <c r="A727" s="6"/>
      <c r="B727" s="19">
        <v>724</v>
      </c>
      <c r="C727" s="14"/>
      <c r="D727" s="21">
        <f>NamaPelanggan!D727</f>
        <v>0</v>
      </c>
      <c r="E727" s="14"/>
      <c r="F727" s="16"/>
      <c r="G727" s="16"/>
      <c r="H727" s="16"/>
      <c r="I727" s="16"/>
      <c r="J727" s="16"/>
      <c r="K727" s="16"/>
      <c r="L727" s="14"/>
      <c r="M727" s="16"/>
      <c r="N727" s="14"/>
      <c r="O727" s="6"/>
      <c r="P727" s="6"/>
      <c r="Q727" s="6"/>
    </row>
    <row r="728" spans="1:17" ht="12.75" customHeight="1" x14ac:dyDescent="0.3">
      <c r="A728" s="6"/>
      <c r="B728" s="19">
        <v>725</v>
      </c>
      <c r="C728" s="14"/>
      <c r="D728" s="21">
        <f>NamaPelanggan!D728</f>
        <v>0</v>
      </c>
      <c r="E728" s="14"/>
      <c r="F728" s="16"/>
      <c r="G728" s="16"/>
      <c r="H728" s="16"/>
      <c r="I728" s="16"/>
      <c r="J728" s="16"/>
      <c r="K728" s="16"/>
      <c r="L728" s="14"/>
      <c r="M728" s="16"/>
      <c r="N728" s="14"/>
      <c r="O728" s="6"/>
      <c r="P728" s="6"/>
      <c r="Q728" s="6"/>
    </row>
    <row r="729" spans="1:17" ht="12.75" customHeight="1" x14ac:dyDescent="0.3">
      <c r="A729" s="6"/>
      <c r="B729" s="19">
        <v>726</v>
      </c>
      <c r="C729" s="14"/>
      <c r="D729" s="21">
        <f>NamaPelanggan!D729</f>
        <v>0</v>
      </c>
      <c r="E729" s="14"/>
      <c r="F729" s="16"/>
      <c r="G729" s="16"/>
      <c r="H729" s="16"/>
      <c r="I729" s="16"/>
      <c r="J729" s="16"/>
      <c r="K729" s="16"/>
      <c r="L729" s="14"/>
      <c r="M729" s="16"/>
      <c r="N729" s="14"/>
      <c r="O729" s="6"/>
      <c r="P729" s="6"/>
      <c r="Q729" s="6"/>
    </row>
    <row r="730" spans="1:17" ht="12.75" customHeight="1" x14ac:dyDescent="0.3">
      <c r="A730" s="6"/>
      <c r="B730" s="19">
        <v>727</v>
      </c>
      <c r="C730" s="14"/>
      <c r="D730" s="21">
        <f>NamaPelanggan!D730</f>
        <v>0</v>
      </c>
      <c r="E730" s="14"/>
      <c r="F730" s="16"/>
      <c r="G730" s="16"/>
      <c r="H730" s="16"/>
      <c r="I730" s="16"/>
      <c r="J730" s="16"/>
      <c r="K730" s="16"/>
      <c r="L730" s="14"/>
      <c r="M730" s="16"/>
      <c r="N730" s="14"/>
      <c r="O730" s="6"/>
      <c r="P730" s="6"/>
      <c r="Q730" s="6"/>
    </row>
    <row r="731" spans="1:17" ht="12.75" customHeight="1" x14ac:dyDescent="0.3">
      <c r="A731" s="6"/>
      <c r="B731" s="19">
        <v>728</v>
      </c>
      <c r="C731" s="14"/>
      <c r="D731" s="21">
        <f>NamaPelanggan!D731</f>
        <v>0</v>
      </c>
      <c r="E731" s="14"/>
      <c r="F731" s="16"/>
      <c r="G731" s="16"/>
      <c r="H731" s="16"/>
      <c r="I731" s="16"/>
      <c r="J731" s="16"/>
      <c r="K731" s="16"/>
      <c r="L731" s="14"/>
      <c r="M731" s="16"/>
      <c r="N731" s="14"/>
      <c r="O731" s="6"/>
      <c r="P731" s="6"/>
      <c r="Q731" s="6"/>
    </row>
    <row r="732" spans="1:17" ht="12.75" customHeight="1" x14ac:dyDescent="0.3">
      <c r="A732" s="6"/>
      <c r="B732" s="19">
        <v>729</v>
      </c>
      <c r="C732" s="14"/>
      <c r="D732" s="21">
        <f>NamaPelanggan!D732</f>
        <v>0</v>
      </c>
      <c r="E732" s="14"/>
      <c r="F732" s="16"/>
      <c r="G732" s="16"/>
      <c r="H732" s="16"/>
      <c r="I732" s="16"/>
      <c r="J732" s="16"/>
      <c r="K732" s="16"/>
      <c r="L732" s="14"/>
      <c r="M732" s="16"/>
      <c r="N732" s="14"/>
      <c r="O732" s="6"/>
      <c r="P732" s="6"/>
      <c r="Q732" s="6"/>
    </row>
    <row r="733" spans="1:17" ht="12.75" customHeight="1" x14ac:dyDescent="0.3">
      <c r="A733" s="6"/>
      <c r="B733" s="19">
        <v>730</v>
      </c>
      <c r="C733" s="14"/>
      <c r="D733" s="21">
        <f>NamaPelanggan!D733</f>
        <v>0</v>
      </c>
      <c r="E733" s="14"/>
      <c r="F733" s="16"/>
      <c r="G733" s="16"/>
      <c r="H733" s="16"/>
      <c r="I733" s="16"/>
      <c r="J733" s="16"/>
      <c r="K733" s="16"/>
      <c r="L733" s="14"/>
      <c r="M733" s="16"/>
      <c r="N733" s="14"/>
      <c r="O733" s="6"/>
      <c r="P733" s="6"/>
      <c r="Q733" s="6"/>
    </row>
    <row r="734" spans="1:17" ht="12.75" customHeight="1" x14ac:dyDescent="0.3">
      <c r="A734" s="6"/>
      <c r="B734" s="19">
        <v>731</v>
      </c>
      <c r="C734" s="14"/>
      <c r="D734" s="21">
        <f>NamaPelanggan!D734</f>
        <v>0</v>
      </c>
      <c r="E734" s="14"/>
      <c r="F734" s="16"/>
      <c r="G734" s="16"/>
      <c r="H734" s="16"/>
      <c r="I734" s="16"/>
      <c r="J734" s="16"/>
      <c r="K734" s="16"/>
      <c r="L734" s="14"/>
      <c r="M734" s="16"/>
      <c r="N734" s="14"/>
      <c r="O734" s="6"/>
      <c r="P734" s="6"/>
      <c r="Q734" s="6"/>
    </row>
    <row r="735" spans="1:17" ht="12.75" customHeight="1" x14ac:dyDescent="0.3">
      <c r="A735" s="6"/>
      <c r="B735" s="19">
        <v>732</v>
      </c>
      <c r="C735" s="14"/>
      <c r="D735" s="21">
        <f>NamaPelanggan!D735</f>
        <v>0</v>
      </c>
      <c r="E735" s="14"/>
      <c r="F735" s="16"/>
      <c r="G735" s="16"/>
      <c r="H735" s="16"/>
      <c r="I735" s="16"/>
      <c r="J735" s="16"/>
      <c r="K735" s="16"/>
      <c r="L735" s="14"/>
      <c r="M735" s="16"/>
      <c r="N735" s="14"/>
      <c r="O735" s="6"/>
      <c r="P735" s="6"/>
      <c r="Q735" s="6"/>
    </row>
    <row r="736" spans="1:17" ht="12.75" customHeight="1" x14ac:dyDescent="0.3">
      <c r="A736" s="6"/>
      <c r="B736" s="19">
        <v>733</v>
      </c>
      <c r="C736" s="14"/>
      <c r="D736" s="21">
        <f>NamaPelanggan!D736</f>
        <v>0</v>
      </c>
      <c r="E736" s="14"/>
      <c r="F736" s="16"/>
      <c r="G736" s="16"/>
      <c r="H736" s="16"/>
      <c r="I736" s="16"/>
      <c r="J736" s="16"/>
      <c r="K736" s="16"/>
      <c r="L736" s="14"/>
      <c r="M736" s="16"/>
      <c r="N736" s="14"/>
      <c r="O736" s="6"/>
      <c r="P736" s="6"/>
      <c r="Q736" s="6"/>
    </row>
    <row r="737" spans="1:17" ht="12.75" customHeight="1" x14ac:dyDescent="0.3">
      <c r="A737" s="6"/>
      <c r="B737" s="19">
        <v>734</v>
      </c>
      <c r="C737" s="14"/>
      <c r="D737" s="21">
        <f>NamaPelanggan!D737</f>
        <v>0</v>
      </c>
      <c r="E737" s="14"/>
      <c r="F737" s="16"/>
      <c r="G737" s="16"/>
      <c r="H737" s="16"/>
      <c r="I737" s="16"/>
      <c r="J737" s="16"/>
      <c r="K737" s="16"/>
      <c r="L737" s="14"/>
      <c r="M737" s="16"/>
      <c r="N737" s="14"/>
      <c r="O737" s="6"/>
      <c r="P737" s="6"/>
      <c r="Q737" s="6"/>
    </row>
    <row r="738" spans="1:17" ht="12.75" customHeight="1" x14ac:dyDescent="0.3">
      <c r="A738" s="6"/>
      <c r="B738" s="19">
        <v>735</v>
      </c>
      <c r="C738" s="14"/>
      <c r="D738" s="21">
        <f>NamaPelanggan!D738</f>
        <v>0</v>
      </c>
      <c r="E738" s="14"/>
      <c r="F738" s="16"/>
      <c r="G738" s="16"/>
      <c r="H738" s="16"/>
      <c r="I738" s="16"/>
      <c r="J738" s="16"/>
      <c r="K738" s="16"/>
      <c r="L738" s="14"/>
      <c r="M738" s="16"/>
      <c r="N738" s="14"/>
      <c r="O738" s="6"/>
      <c r="P738" s="6"/>
      <c r="Q738" s="6"/>
    </row>
    <row r="739" spans="1:17" ht="12.75" customHeight="1" x14ac:dyDescent="0.3">
      <c r="A739" s="6"/>
      <c r="B739" s="19">
        <v>736</v>
      </c>
      <c r="C739" s="14"/>
      <c r="D739" s="21">
        <f>NamaPelanggan!D739</f>
        <v>0</v>
      </c>
      <c r="E739" s="14"/>
      <c r="F739" s="16"/>
      <c r="G739" s="16"/>
      <c r="H739" s="16"/>
      <c r="I739" s="16"/>
      <c r="J739" s="16"/>
      <c r="K739" s="16"/>
      <c r="L739" s="14"/>
      <c r="M739" s="16"/>
      <c r="N739" s="14"/>
      <c r="O739" s="6"/>
      <c r="P739" s="6"/>
      <c r="Q739" s="6"/>
    </row>
    <row r="740" spans="1:17" ht="12.75" customHeight="1" x14ac:dyDescent="0.3">
      <c r="A740" s="6"/>
      <c r="B740" s="19">
        <v>737</v>
      </c>
      <c r="C740" s="14"/>
      <c r="D740" s="21">
        <f>NamaPelanggan!D740</f>
        <v>0</v>
      </c>
      <c r="E740" s="14"/>
      <c r="F740" s="16"/>
      <c r="G740" s="16"/>
      <c r="H740" s="16"/>
      <c r="I740" s="16"/>
      <c r="J740" s="16"/>
      <c r="K740" s="16"/>
      <c r="L740" s="14"/>
      <c r="M740" s="16"/>
      <c r="N740" s="14"/>
      <c r="O740" s="6"/>
      <c r="P740" s="6"/>
      <c r="Q740" s="6"/>
    </row>
    <row r="741" spans="1:17" ht="12.75" customHeight="1" x14ac:dyDescent="0.3">
      <c r="A741" s="6"/>
      <c r="B741" s="19">
        <v>738</v>
      </c>
      <c r="C741" s="14"/>
      <c r="D741" s="21">
        <f>NamaPelanggan!D741</f>
        <v>0</v>
      </c>
      <c r="E741" s="14"/>
      <c r="F741" s="16"/>
      <c r="G741" s="16"/>
      <c r="H741" s="16"/>
      <c r="I741" s="16"/>
      <c r="J741" s="16"/>
      <c r="K741" s="16"/>
      <c r="L741" s="14"/>
      <c r="M741" s="16"/>
      <c r="N741" s="14"/>
      <c r="O741" s="6"/>
      <c r="P741" s="6"/>
      <c r="Q741" s="6"/>
    </row>
    <row r="742" spans="1:17" ht="12.75" customHeight="1" x14ac:dyDescent="0.3">
      <c r="A742" s="6"/>
      <c r="B742" s="19">
        <v>739</v>
      </c>
      <c r="C742" s="14"/>
      <c r="D742" s="21">
        <f>NamaPelanggan!D742</f>
        <v>0</v>
      </c>
      <c r="E742" s="14"/>
      <c r="F742" s="16"/>
      <c r="G742" s="16"/>
      <c r="H742" s="16"/>
      <c r="I742" s="16"/>
      <c r="J742" s="16"/>
      <c r="K742" s="16"/>
      <c r="L742" s="14"/>
      <c r="M742" s="16"/>
      <c r="N742" s="14"/>
      <c r="O742" s="6"/>
      <c r="P742" s="6"/>
      <c r="Q742" s="6"/>
    </row>
    <row r="743" spans="1:17" ht="12.75" customHeight="1" x14ac:dyDescent="0.3">
      <c r="A743" s="6"/>
      <c r="B743" s="19">
        <v>740</v>
      </c>
      <c r="C743" s="14"/>
      <c r="D743" s="21">
        <f>NamaPelanggan!D743</f>
        <v>0</v>
      </c>
      <c r="E743" s="14"/>
      <c r="F743" s="16"/>
      <c r="G743" s="16"/>
      <c r="H743" s="16"/>
      <c r="I743" s="16"/>
      <c r="J743" s="16"/>
      <c r="K743" s="16"/>
      <c r="L743" s="14"/>
      <c r="M743" s="16"/>
      <c r="N743" s="14"/>
      <c r="O743" s="6"/>
      <c r="P743" s="6"/>
      <c r="Q743" s="6"/>
    </row>
    <row r="744" spans="1:17" ht="12.75" customHeight="1" x14ac:dyDescent="0.3">
      <c r="A744" s="6"/>
      <c r="B744" s="19">
        <v>741</v>
      </c>
      <c r="C744" s="14"/>
      <c r="D744" s="21">
        <f>NamaPelanggan!D744</f>
        <v>0</v>
      </c>
      <c r="E744" s="14"/>
      <c r="F744" s="16"/>
      <c r="G744" s="16"/>
      <c r="H744" s="16"/>
      <c r="I744" s="16"/>
      <c r="J744" s="16"/>
      <c r="K744" s="16"/>
      <c r="L744" s="14"/>
      <c r="M744" s="16"/>
      <c r="N744" s="14"/>
      <c r="O744" s="6"/>
      <c r="P744" s="6"/>
      <c r="Q744" s="6"/>
    </row>
    <row r="745" spans="1:17" ht="12.75" customHeight="1" x14ac:dyDescent="0.3">
      <c r="A745" s="6"/>
      <c r="B745" s="19">
        <v>742</v>
      </c>
      <c r="C745" s="14"/>
      <c r="D745" s="21">
        <f>NamaPelanggan!D745</f>
        <v>0</v>
      </c>
      <c r="E745" s="14"/>
      <c r="F745" s="16"/>
      <c r="G745" s="16"/>
      <c r="H745" s="16"/>
      <c r="I745" s="16"/>
      <c r="J745" s="16"/>
      <c r="K745" s="16"/>
      <c r="L745" s="14"/>
      <c r="M745" s="16"/>
      <c r="N745" s="14"/>
      <c r="O745" s="6"/>
      <c r="P745" s="6"/>
      <c r="Q745" s="6"/>
    </row>
    <row r="746" spans="1:17" ht="12.75" customHeight="1" x14ac:dyDescent="0.3">
      <c r="A746" s="6"/>
      <c r="B746" s="19">
        <v>743</v>
      </c>
      <c r="C746" s="14"/>
      <c r="D746" s="21">
        <f>NamaPelanggan!D746</f>
        <v>0</v>
      </c>
      <c r="E746" s="14"/>
      <c r="F746" s="16"/>
      <c r="G746" s="16"/>
      <c r="H746" s="16"/>
      <c r="I746" s="16"/>
      <c r="J746" s="16"/>
      <c r="K746" s="16"/>
      <c r="L746" s="14"/>
      <c r="M746" s="16"/>
      <c r="N746" s="14"/>
      <c r="O746" s="6"/>
      <c r="P746" s="6"/>
      <c r="Q746" s="6"/>
    </row>
    <row r="747" spans="1:17" ht="12.75" customHeight="1" x14ac:dyDescent="0.3">
      <c r="A747" s="6"/>
      <c r="B747" s="19">
        <v>744</v>
      </c>
      <c r="C747" s="14"/>
      <c r="D747" s="21">
        <f>NamaPelanggan!D747</f>
        <v>0</v>
      </c>
      <c r="E747" s="14"/>
      <c r="F747" s="16"/>
      <c r="G747" s="16"/>
      <c r="H747" s="16"/>
      <c r="I747" s="16"/>
      <c r="J747" s="16"/>
      <c r="K747" s="16"/>
      <c r="L747" s="14"/>
      <c r="M747" s="16"/>
      <c r="N747" s="14"/>
      <c r="O747" s="6"/>
      <c r="P747" s="6"/>
      <c r="Q747" s="6"/>
    </row>
    <row r="748" spans="1:17" ht="12.75" customHeight="1" x14ac:dyDescent="0.3">
      <c r="A748" s="6"/>
      <c r="B748" s="19">
        <v>745</v>
      </c>
      <c r="C748" s="14"/>
      <c r="D748" s="21">
        <f>NamaPelanggan!D748</f>
        <v>0</v>
      </c>
      <c r="E748" s="14"/>
      <c r="F748" s="16"/>
      <c r="G748" s="16"/>
      <c r="H748" s="16"/>
      <c r="I748" s="16"/>
      <c r="J748" s="16"/>
      <c r="K748" s="16"/>
      <c r="L748" s="14"/>
      <c r="M748" s="16"/>
      <c r="N748" s="14"/>
      <c r="O748" s="6"/>
      <c r="P748" s="6"/>
      <c r="Q748" s="6"/>
    </row>
    <row r="749" spans="1:17" ht="12.75" customHeight="1" x14ac:dyDescent="0.3">
      <c r="A749" s="6"/>
      <c r="B749" s="19">
        <v>746</v>
      </c>
      <c r="C749" s="14"/>
      <c r="D749" s="21">
        <f>NamaPelanggan!D749</f>
        <v>0</v>
      </c>
      <c r="E749" s="14"/>
      <c r="F749" s="16"/>
      <c r="G749" s="16"/>
      <c r="H749" s="16"/>
      <c r="I749" s="16"/>
      <c r="J749" s="16"/>
      <c r="K749" s="16"/>
      <c r="L749" s="14"/>
      <c r="M749" s="16"/>
      <c r="N749" s="14"/>
      <c r="O749" s="6"/>
      <c r="P749" s="6"/>
      <c r="Q749" s="6"/>
    </row>
    <row r="750" spans="1:17" ht="12.75" customHeight="1" x14ac:dyDescent="0.3">
      <c r="A750" s="6"/>
      <c r="B750" s="19">
        <v>747</v>
      </c>
      <c r="C750" s="14"/>
      <c r="D750" s="21">
        <f>NamaPelanggan!D750</f>
        <v>0</v>
      </c>
      <c r="E750" s="14"/>
      <c r="F750" s="16"/>
      <c r="G750" s="16"/>
      <c r="H750" s="16"/>
      <c r="I750" s="16"/>
      <c r="J750" s="16"/>
      <c r="K750" s="16"/>
      <c r="L750" s="14"/>
      <c r="M750" s="16"/>
      <c r="N750" s="14"/>
      <c r="O750" s="6"/>
      <c r="P750" s="6"/>
      <c r="Q750" s="6"/>
    </row>
    <row r="751" spans="1:17" ht="12.75" customHeight="1" x14ac:dyDescent="0.3">
      <c r="A751" s="6"/>
      <c r="B751" s="19">
        <v>748</v>
      </c>
      <c r="C751" s="14"/>
      <c r="D751" s="21">
        <f>NamaPelanggan!D751</f>
        <v>0</v>
      </c>
      <c r="E751" s="14"/>
      <c r="F751" s="16"/>
      <c r="G751" s="16"/>
      <c r="H751" s="16"/>
      <c r="I751" s="16"/>
      <c r="J751" s="16"/>
      <c r="K751" s="16"/>
      <c r="L751" s="14"/>
      <c r="M751" s="16"/>
      <c r="N751" s="14"/>
      <c r="O751" s="6"/>
      <c r="P751" s="6"/>
      <c r="Q751" s="6"/>
    </row>
    <row r="752" spans="1:17" ht="12.75" customHeight="1" x14ac:dyDescent="0.3">
      <c r="A752" s="6"/>
      <c r="B752" s="19">
        <v>749</v>
      </c>
      <c r="C752" s="14"/>
      <c r="D752" s="21">
        <f>NamaPelanggan!D752</f>
        <v>0</v>
      </c>
      <c r="E752" s="14"/>
      <c r="F752" s="16"/>
      <c r="G752" s="16"/>
      <c r="H752" s="16"/>
      <c r="I752" s="16"/>
      <c r="J752" s="16"/>
      <c r="K752" s="16"/>
      <c r="L752" s="14"/>
      <c r="M752" s="16"/>
      <c r="N752" s="14"/>
      <c r="O752" s="6"/>
      <c r="P752" s="6"/>
      <c r="Q752" s="6"/>
    </row>
    <row r="753" spans="1:17" ht="12.75" customHeight="1" x14ac:dyDescent="0.3">
      <c r="A753" s="6"/>
      <c r="B753" s="19">
        <v>750</v>
      </c>
      <c r="C753" s="14"/>
      <c r="D753" s="21">
        <f>NamaPelanggan!D753</f>
        <v>0</v>
      </c>
      <c r="E753" s="14"/>
      <c r="F753" s="16"/>
      <c r="G753" s="16"/>
      <c r="H753" s="16"/>
      <c r="I753" s="16"/>
      <c r="J753" s="16"/>
      <c r="K753" s="16"/>
      <c r="L753" s="14"/>
      <c r="M753" s="16"/>
      <c r="N753" s="14"/>
      <c r="O753" s="6"/>
      <c r="P753" s="6"/>
      <c r="Q753" s="6"/>
    </row>
    <row r="754" spans="1:17" ht="12.75" customHeight="1" x14ac:dyDescent="0.3">
      <c r="A754" s="6"/>
      <c r="B754" s="19">
        <v>751</v>
      </c>
      <c r="C754" s="14"/>
      <c r="D754" s="21">
        <f>NamaPelanggan!D754</f>
        <v>0</v>
      </c>
      <c r="E754" s="14"/>
      <c r="F754" s="16"/>
      <c r="G754" s="16"/>
      <c r="H754" s="16"/>
      <c r="I754" s="16"/>
      <c r="J754" s="16"/>
      <c r="K754" s="16"/>
      <c r="L754" s="14"/>
      <c r="M754" s="16"/>
      <c r="N754" s="14"/>
      <c r="O754" s="6"/>
      <c r="P754" s="6"/>
      <c r="Q754" s="6"/>
    </row>
    <row r="755" spans="1:17" ht="12.75" customHeight="1" x14ac:dyDescent="0.3">
      <c r="A755" s="6"/>
      <c r="B755" s="19">
        <v>752</v>
      </c>
      <c r="C755" s="14"/>
      <c r="D755" s="21">
        <f>NamaPelanggan!D755</f>
        <v>0</v>
      </c>
      <c r="E755" s="14"/>
      <c r="F755" s="16"/>
      <c r="G755" s="16"/>
      <c r="H755" s="16"/>
      <c r="I755" s="16"/>
      <c r="J755" s="16"/>
      <c r="K755" s="16"/>
      <c r="L755" s="14"/>
      <c r="M755" s="16"/>
      <c r="N755" s="14"/>
      <c r="O755" s="6"/>
      <c r="P755" s="6"/>
      <c r="Q755" s="6"/>
    </row>
    <row r="756" spans="1:17" ht="12.75" customHeight="1" x14ac:dyDescent="0.3">
      <c r="A756" s="6"/>
      <c r="B756" s="19">
        <v>753</v>
      </c>
      <c r="C756" s="14"/>
      <c r="D756" s="21">
        <f>NamaPelanggan!D756</f>
        <v>0</v>
      </c>
      <c r="E756" s="14"/>
      <c r="F756" s="16"/>
      <c r="G756" s="16"/>
      <c r="H756" s="16"/>
      <c r="I756" s="16"/>
      <c r="J756" s="16"/>
      <c r="K756" s="16"/>
      <c r="L756" s="14"/>
      <c r="M756" s="16"/>
      <c r="N756" s="14"/>
      <c r="O756" s="6"/>
      <c r="P756" s="6"/>
      <c r="Q756" s="6"/>
    </row>
    <row r="757" spans="1:17" ht="12.75" customHeight="1" x14ac:dyDescent="0.3">
      <c r="A757" s="6"/>
      <c r="B757" s="19">
        <v>754</v>
      </c>
      <c r="C757" s="14"/>
      <c r="D757" s="21">
        <f>NamaPelanggan!D757</f>
        <v>0</v>
      </c>
      <c r="E757" s="14"/>
      <c r="F757" s="16"/>
      <c r="G757" s="16"/>
      <c r="H757" s="16"/>
      <c r="I757" s="16"/>
      <c r="J757" s="16"/>
      <c r="K757" s="16"/>
      <c r="L757" s="14"/>
      <c r="M757" s="16"/>
      <c r="N757" s="14"/>
      <c r="O757" s="6"/>
      <c r="P757" s="6"/>
      <c r="Q757" s="6"/>
    </row>
    <row r="758" spans="1:17" ht="12.75" customHeight="1" x14ac:dyDescent="0.3">
      <c r="A758" s="6"/>
      <c r="B758" s="19">
        <v>755</v>
      </c>
      <c r="C758" s="14"/>
      <c r="D758" s="21">
        <f>NamaPelanggan!D758</f>
        <v>0</v>
      </c>
      <c r="E758" s="14"/>
      <c r="F758" s="16"/>
      <c r="G758" s="16"/>
      <c r="H758" s="16"/>
      <c r="I758" s="16"/>
      <c r="J758" s="16"/>
      <c r="K758" s="16"/>
      <c r="L758" s="14"/>
      <c r="M758" s="16"/>
      <c r="N758" s="14"/>
      <c r="O758" s="6"/>
      <c r="P758" s="6"/>
      <c r="Q758" s="6"/>
    </row>
    <row r="759" spans="1:17" ht="12.75" customHeight="1" x14ac:dyDescent="0.3">
      <c r="A759" s="6"/>
      <c r="B759" s="19">
        <v>756</v>
      </c>
      <c r="C759" s="14"/>
      <c r="D759" s="21">
        <f>NamaPelanggan!D759</f>
        <v>0</v>
      </c>
      <c r="E759" s="14"/>
      <c r="F759" s="16"/>
      <c r="G759" s="16"/>
      <c r="H759" s="16"/>
      <c r="I759" s="16"/>
      <c r="J759" s="16"/>
      <c r="K759" s="16"/>
      <c r="L759" s="14"/>
      <c r="M759" s="16"/>
      <c r="N759" s="14"/>
      <c r="O759" s="6"/>
      <c r="P759" s="6"/>
      <c r="Q759" s="6"/>
    </row>
    <row r="760" spans="1:17" ht="12.75" customHeight="1" x14ac:dyDescent="0.3">
      <c r="A760" s="6"/>
      <c r="B760" s="19">
        <v>757</v>
      </c>
      <c r="C760" s="14"/>
      <c r="D760" s="21">
        <f>NamaPelanggan!D760</f>
        <v>0</v>
      </c>
      <c r="E760" s="14"/>
      <c r="F760" s="16"/>
      <c r="G760" s="16"/>
      <c r="H760" s="16"/>
      <c r="I760" s="16"/>
      <c r="J760" s="16"/>
      <c r="K760" s="16"/>
      <c r="L760" s="14"/>
      <c r="M760" s="16"/>
      <c r="N760" s="14"/>
      <c r="O760" s="6"/>
      <c r="P760" s="6"/>
      <c r="Q760" s="6"/>
    </row>
    <row r="761" spans="1:17" ht="12.75" customHeight="1" x14ac:dyDescent="0.3">
      <c r="A761" s="6"/>
      <c r="B761" s="19">
        <v>758</v>
      </c>
      <c r="C761" s="14"/>
      <c r="D761" s="21">
        <f>NamaPelanggan!D761</f>
        <v>0</v>
      </c>
      <c r="E761" s="14"/>
      <c r="F761" s="16"/>
      <c r="G761" s="16"/>
      <c r="H761" s="16"/>
      <c r="I761" s="16"/>
      <c r="J761" s="16"/>
      <c r="K761" s="16"/>
      <c r="L761" s="14"/>
      <c r="M761" s="16"/>
      <c r="N761" s="14"/>
      <c r="O761" s="6"/>
      <c r="P761" s="6"/>
      <c r="Q761" s="6"/>
    </row>
    <row r="762" spans="1:17" ht="12.75" customHeight="1" x14ac:dyDescent="0.3">
      <c r="A762" s="6"/>
      <c r="B762" s="19">
        <v>759</v>
      </c>
      <c r="C762" s="14"/>
      <c r="D762" s="21">
        <f>NamaPelanggan!D762</f>
        <v>0</v>
      </c>
      <c r="E762" s="14"/>
      <c r="F762" s="16"/>
      <c r="G762" s="16"/>
      <c r="H762" s="16"/>
      <c r="I762" s="16"/>
      <c r="J762" s="16"/>
      <c r="K762" s="16"/>
      <c r="L762" s="14"/>
      <c r="M762" s="16"/>
      <c r="N762" s="14"/>
      <c r="O762" s="6"/>
      <c r="P762" s="6"/>
      <c r="Q762" s="6"/>
    </row>
    <row r="763" spans="1:17" ht="12.75" customHeight="1" x14ac:dyDescent="0.3">
      <c r="A763" s="6"/>
      <c r="B763" s="19">
        <v>760</v>
      </c>
      <c r="C763" s="14"/>
      <c r="D763" s="21">
        <f>NamaPelanggan!D763</f>
        <v>0</v>
      </c>
      <c r="E763" s="14"/>
      <c r="F763" s="16"/>
      <c r="G763" s="16"/>
      <c r="H763" s="16"/>
      <c r="I763" s="16"/>
      <c r="J763" s="16"/>
      <c r="K763" s="16"/>
      <c r="L763" s="14"/>
      <c r="M763" s="16"/>
      <c r="N763" s="14"/>
      <c r="O763" s="6"/>
      <c r="P763" s="6"/>
      <c r="Q763" s="6"/>
    </row>
    <row r="764" spans="1:17" ht="12.75" customHeight="1" x14ac:dyDescent="0.3">
      <c r="A764" s="6"/>
      <c r="B764" s="19">
        <v>761</v>
      </c>
      <c r="C764" s="14"/>
      <c r="D764" s="21">
        <f>NamaPelanggan!D764</f>
        <v>0</v>
      </c>
      <c r="E764" s="14"/>
      <c r="F764" s="16"/>
      <c r="G764" s="16"/>
      <c r="H764" s="16"/>
      <c r="I764" s="16"/>
      <c r="J764" s="16"/>
      <c r="K764" s="16"/>
      <c r="L764" s="14"/>
      <c r="M764" s="16"/>
      <c r="N764" s="14"/>
      <c r="O764" s="6"/>
      <c r="P764" s="6"/>
      <c r="Q764" s="6"/>
    </row>
    <row r="765" spans="1:17" ht="12.75" customHeight="1" x14ac:dyDescent="0.3">
      <c r="A765" s="6"/>
      <c r="B765" s="19">
        <v>762</v>
      </c>
      <c r="C765" s="14"/>
      <c r="D765" s="21">
        <f>NamaPelanggan!D765</f>
        <v>0</v>
      </c>
      <c r="E765" s="14"/>
      <c r="F765" s="16"/>
      <c r="G765" s="16"/>
      <c r="H765" s="16"/>
      <c r="I765" s="16"/>
      <c r="J765" s="16"/>
      <c r="K765" s="16"/>
      <c r="L765" s="14"/>
      <c r="M765" s="16"/>
      <c r="N765" s="14"/>
      <c r="O765" s="6"/>
      <c r="P765" s="6"/>
      <c r="Q765" s="6"/>
    </row>
    <row r="766" spans="1:17" ht="12.75" customHeight="1" x14ac:dyDescent="0.3">
      <c r="A766" s="6"/>
      <c r="B766" s="19">
        <v>763</v>
      </c>
      <c r="C766" s="14"/>
      <c r="D766" s="21">
        <f>NamaPelanggan!D766</f>
        <v>0</v>
      </c>
      <c r="E766" s="14"/>
      <c r="F766" s="16"/>
      <c r="G766" s="16"/>
      <c r="H766" s="16"/>
      <c r="I766" s="16"/>
      <c r="J766" s="16"/>
      <c r="K766" s="16"/>
      <c r="L766" s="14"/>
      <c r="M766" s="16"/>
      <c r="N766" s="14"/>
      <c r="O766" s="6"/>
      <c r="P766" s="6"/>
      <c r="Q766" s="6"/>
    </row>
    <row r="767" spans="1:17" ht="12.75" customHeight="1" x14ac:dyDescent="0.3">
      <c r="A767" s="6"/>
      <c r="B767" s="19">
        <v>764</v>
      </c>
      <c r="C767" s="14"/>
      <c r="D767" s="21">
        <f>NamaPelanggan!D767</f>
        <v>0</v>
      </c>
      <c r="E767" s="14"/>
      <c r="F767" s="16"/>
      <c r="G767" s="16"/>
      <c r="H767" s="16"/>
      <c r="I767" s="16"/>
      <c r="J767" s="16"/>
      <c r="K767" s="16"/>
      <c r="L767" s="14"/>
      <c r="M767" s="16"/>
      <c r="N767" s="14"/>
      <c r="O767" s="6"/>
      <c r="P767" s="6"/>
      <c r="Q767" s="6"/>
    </row>
    <row r="768" spans="1:17" ht="12.75" customHeight="1" x14ac:dyDescent="0.3">
      <c r="A768" s="6"/>
      <c r="B768" s="19">
        <v>765</v>
      </c>
      <c r="C768" s="14"/>
      <c r="D768" s="21">
        <f>NamaPelanggan!D768</f>
        <v>0</v>
      </c>
      <c r="E768" s="14"/>
      <c r="F768" s="16"/>
      <c r="G768" s="16"/>
      <c r="H768" s="16"/>
      <c r="I768" s="16"/>
      <c r="J768" s="16"/>
      <c r="K768" s="16"/>
      <c r="L768" s="14"/>
      <c r="M768" s="16"/>
      <c r="N768" s="14"/>
      <c r="O768" s="6"/>
      <c r="P768" s="6"/>
      <c r="Q768" s="6"/>
    </row>
    <row r="769" spans="1:17" ht="12.75" customHeight="1" x14ac:dyDescent="0.3">
      <c r="A769" s="6"/>
      <c r="B769" s="19">
        <v>766</v>
      </c>
      <c r="C769" s="14"/>
      <c r="D769" s="21">
        <f>NamaPelanggan!D769</f>
        <v>0</v>
      </c>
      <c r="E769" s="14"/>
      <c r="F769" s="16"/>
      <c r="G769" s="16"/>
      <c r="H769" s="16"/>
      <c r="I769" s="16"/>
      <c r="J769" s="16"/>
      <c r="K769" s="16"/>
      <c r="L769" s="14"/>
      <c r="M769" s="16"/>
      <c r="N769" s="14"/>
      <c r="O769" s="6"/>
      <c r="P769" s="6"/>
      <c r="Q769" s="6"/>
    </row>
    <row r="770" spans="1:17" ht="12.75" customHeight="1" x14ac:dyDescent="0.3">
      <c r="A770" s="6"/>
      <c r="B770" s="19">
        <v>767</v>
      </c>
      <c r="C770" s="14"/>
      <c r="D770" s="21">
        <f>NamaPelanggan!D770</f>
        <v>0</v>
      </c>
      <c r="E770" s="14"/>
      <c r="F770" s="16"/>
      <c r="G770" s="16"/>
      <c r="H770" s="16"/>
      <c r="I770" s="16"/>
      <c r="J770" s="16"/>
      <c r="K770" s="16"/>
      <c r="L770" s="14"/>
      <c r="M770" s="16"/>
      <c r="N770" s="14"/>
      <c r="O770" s="6"/>
      <c r="P770" s="6"/>
      <c r="Q770" s="6"/>
    </row>
    <row r="771" spans="1:17" ht="12.75" customHeight="1" x14ac:dyDescent="0.3">
      <c r="A771" s="6"/>
      <c r="B771" s="19">
        <v>768</v>
      </c>
      <c r="C771" s="14"/>
      <c r="D771" s="21">
        <f>NamaPelanggan!D771</f>
        <v>0</v>
      </c>
      <c r="E771" s="14"/>
      <c r="F771" s="16"/>
      <c r="G771" s="16"/>
      <c r="H771" s="16"/>
      <c r="I771" s="16"/>
      <c r="J771" s="16"/>
      <c r="K771" s="16"/>
      <c r="L771" s="14"/>
      <c r="M771" s="16"/>
      <c r="N771" s="14"/>
      <c r="O771" s="6"/>
      <c r="P771" s="6"/>
      <c r="Q771" s="6"/>
    </row>
    <row r="772" spans="1:17" ht="12.75" customHeight="1" x14ac:dyDescent="0.3">
      <c r="A772" s="6"/>
      <c r="B772" s="19">
        <v>769</v>
      </c>
      <c r="C772" s="14"/>
      <c r="D772" s="21">
        <f>NamaPelanggan!D772</f>
        <v>0</v>
      </c>
      <c r="E772" s="14"/>
      <c r="F772" s="16"/>
      <c r="G772" s="16"/>
      <c r="H772" s="16"/>
      <c r="I772" s="16"/>
      <c r="J772" s="16"/>
      <c r="K772" s="16"/>
      <c r="L772" s="14"/>
      <c r="M772" s="16"/>
      <c r="N772" s="14"/>
      <c r="O772" s="6"/>
      <c r="P772" s="6"/>
      <c r="Q772" s="6"/>
    </row>
    <row r="773" spans="1:17" ht="12.75" customHeight="1" x14ac:dyDescent="0.3">
      <c r="A773" s="6"/>
      <c r="B773" s="19">
        <v>770</v>
      </c>
      <c r="C773" s="14"/>
      <c r="D773" s="21">
        <f>NamaPelanggan!D773</f>
        <v>0</v>
      </c>
      <c r="E773" s="14"/>
      <c r="F773" s="16"/>
      <c r="G773" s="16"/>
      <c r="H773" s="16"/>
      <c r="I773" s="16"/>
      <c r="J773" s="16"/>
      <c r="K773" s="16"/>
      <c r="L773" s="14"/>
      <c r="M773" s="16"/>
      <c r="N773" s="14"/>
      <c r="O773" s="6"/>
      <c r="P773" s="6"/>
      <c r="Q773" s="6"/>
    </row>
    <row r="774" spans="1:17" ht="12.75" customHeight="1" x14ac:dyDescent="0.3">
      <c r="A774" s="6"/>
      <c r="B774" s="19">
        <v>771</v>
      </c>
      <c r="C774" s="14"/>
      <c r="D774" s="21">
        <f>NamaPelanggan!D774</f>
        <v>0</v>
      </c>
      <c r="E774" s="14"/>
      <c r="F774" s="16"/>
      <c r="G774" s="16"/>
      <c r="H774" s="16"/>
      <c r="I774" s="16"/>
      <c r="J774" s="16"/>
      <c r="K774" s="16"/>
      <c r="L774" s="14"/>
      <c r="M774" s="16"/>
      <c r="N774" s="14"/>
      <c r="O774" s="6"/>
      <c r="P774" s="6"/>
      <c r="Q774" s="6"/>
    </row>
    <row r="775" spans="1:17" ht="12.75" customHeight="1" x14ac:dyDescent="0.3">
      <c r="A775" s="6"/>
      <c r="B775" s="19">
        <v>772</v>
      </c>
      <c r="C775" s="14"/>
      <c r="D775" s="21">
        <f>NamaPelanggan!D775</f>
        <v>0</v>
      </c>
      <c r="E775" s="14"/>
      <c r="F775" s="16"/>
      <c r="G775" s="16"/>
      <c r="H775" s="16"/>
      <c r="I775" s="16"/>
      <c r="J775" s="16"/>
      <c r="K775" s="16"/>
      <c r="L775" s="14"/>
      <c r="M775" s="16"/>
      <c r="N775" s="14"/>
      <c r="O775" s="6"/>
      <c r="P775" s="6"/>
      <c r="Q775" s="6"/>
    </row>
    <row r="776" spans="1:17" ht="12.75" customHeight="1" x14ac:dyDescent="0.3">
      <c r="A776" s="6"/>
      <c r="B776" s="19">
        <v>773</v>
      </c>
      <c r="C776" s="14"/>
      <c r="D776" s="21">
        <f>NamaPelanggan!D776</f>
        <v>0</v>
      </c>
      <c r="E776" s="14"/>
      <c r="F776" s="16"/>
      <c r="G776" s="16"/>
      <c r="H776" s="16"/>
      <c r="I776" s="16"/>
      <c r="J776" s="16"/>
      <c r="K776" s="16"/>
      <c r="L776" s="14"/>
      <c r="M776" s="16"/>
      <c r="N776" s="14"/>
      <c r="O776" s="6"/>
      <c r="P776" s="6"/>
      <c r="Q776" s="6"/>
    </row>
    <row r="777" spans="1:17" ht="12.75" customHeight="1" x14ac:dyDescent="0.3">
      <c r="A777" s="6"/>
      <c r="B777" s="19">
        <v>774</v>
      </c>
      <c r="C777" s="14"/>
      <c r="D777" s="21">
        <f>NamaPelanggan!D777</f>
        <v>0</v>
      </c>
      <c r="E777" s="14"/>
      <c r="F777" s="16"/>
      <c r="G777" s="16"/>
      <c r="H777" s="16"/>
      <c r="I777" s="16"/>
      <c r="J777" s="16"/>
      <c r="K777" s="16"/>
      <c r="L777" s="14"/>
      <c r="M777" s="16"/>
      <c r="N777" s="14"/>
      <c r="O777" s="6"/>
      <c r="P777" s="6"/>
      <c r="Q777" s="6"/>
    </row>
    <row r="778" spans="1:17" ht="12.75" customHeight="1" x14ac:dyDescent="0.3">
      <c r="A778" s="6"/>
      <c r="B778" s="19">
        <v>775</v>
      </c>
      <c r="C778" s="14"/>
      <c r="D778" s="21">
        <f>NamaPelanggan!D778</f>
        <v>0</v>
      </c>
      <c r="E778" s="14"/>
      <c r="F778" s="16"/>
      <c r="G778" s="16"/>
      <c r="H778" s="16"/>
      <c r="I778" s="16"/>
      <c r="J778" s="16"/>
      <c r="K778" s="16"/>
      <c r="L778" s="14"/>
      <c r="M778" s="16"/>
      <c r="N778" s="14"/>
      <c r="O778" s="6"/>
      <c r="P778" s="6"/>
      <c r="Q778" s="6"/>
    </row>
    <row r="779" spans="1:17" ht="12.75" customHeight="1" x14ac:dyDescent="0.3">
      <c r="A779" s="6"/>
      <c r="B779" s="19">
        <v>776</v>
      </c>
      <c r="C779" s="14"/>
      <c r="D779" s="21">
        <f>NamaPelanggan!D779</f>
        <v>0</v>
      </c>
      <c r="E779" s="14"/>
      <c r="F779" s="16"/>
      <c r="G779" s="16"/>
      <c r="H779" s="16"/>
      <c r="I779" s="16"/>
      <c r="J779" s="16"/>
      <c r="K779" s="16"/>
      <c r="L779" s="14"/>
      <c r="M779" s="16"/>
      <c r="N779" s="14"/>
      <c r="O779" s="6"/>
      <c r="P779" s="6"/>
      <c r="Q779" s="6"/>
    </row>
    <row r="780" spans="1:17" ht="12.75" customHeight="1" x14ac:dyDescent="0.3">
      <c r="A780" s="6"/>
      <c r="B780" s="19">
        <v>777</v>
      </c>
      <c r="C780" s="14"/>
      <c r="D780" s="21">
        <f>NamaPelanggan!D780</f>
        <v>0</v>
      </c>
      <c r="E780" s="14"/>
      <c r="F780" s="16"/>
      <c r="G780" s="16"/>
      <c r="H780" s="16"/>
      <c r="I780" s="16"/>
      <c r="J780" s="16"/>
      <c r="K780" s="16"/>
      <c r="L780" s="14"/>
      <c r="M780" s="16"/>
      <c r="N780" s="14"/>
      <c r="O780" s="6"/>
      <c r="P780" s="6"/>
      <c r="Q780" s="6"/>
    </row>
    <row r="781" spans="1:17" ht="12.75" customHeight="1" x14ac:dyDescent="0.3">
      <c r="A781" s="6"/>
      <c r="B781" s="19">
        <v>778</v>
      </c>
      <c r="C781" s="14"/>
      <c r="D781" s="21">
        <f>NamaPelanggan!D781</f>
        <v>0</v>
      </c>
      <c r="E781" s="14"/>
      <c r="F781" s="16"/>
      <c r="G781" s="16"/>
      <c r="H781" s="16"/>
      <c r="I781" s="16"/>
      <c r="J781" s="16"/>
      <c r="K781" s="16"/>
      <c r="L781" s="14"/>
      <c r="M781" s="16"/>
      <c r="N781" s="14"/>
      <c r="O781" s="6"/>
      <c r="P781" s="6"/>
      <c r="Q781" s="6"/>
    </row>
    <row r="782" spans="1:17" ht="12.75" customHeight="1" x14ac:dyDescent="0.3">
      <c r="A782" s="6"/>
      <c r="B782" s="19">
        <v>779</v>
      </c>
      <c r="C782" s="14"/>
      <c r="D782" s="21">
        <f>NamaPelanggan!D782</f>
        <v>0</v>
      </c>
      <c r="E782" s="14"/>
      <c r="F782" s="16"/>
      <c r="G782" s="16"/>
      <c r="H782" s="16"/>
      <c r="I782" s="16"/>
      <c r="J782" s="16"/>
      <c r="K782" s="16"/>
      <c r="L782" s="14"/>
      <c r="M782" s="16"/>
      <c r="N782" s="14"/>
      <c r="O782" s="6"/>
      <c r="P782" s="6"/>
      <c r="Q782" s="6"/>
    </row>
    <row r="783" spans="1:17" ht="12.75" customHeight="1" x14ac:dyDescent="0.3">
      <c r="A783" s="6"/>
      <c r="B783" s="19">
        <v>780</v>
      </c>
      <c r="C783" s="14"/>
      <c r="D783" s="21">
        <f>NamaPelanggan!D783</f>
        <v>0</v>
      </c>
      <c r="E783" s="14"/>
      <c r="F783" s="16"/>
      <c r="G783" s="16"/>
      <c r="H783" s="16"/>
      <c r="I783" s="16"/>
      <c r="J783" s="16"/>
      <c r="K783" s="16"/>
      <c r="L783" s="14"/>
      <c r="M783" s="16"/>
      <c r="N783" s="14"/>
      <c r="O783" s="6"/>
      <c r="P783" s="6"/>
      <c r="Q783" s="6"/>
    </row>
    <row r="784" spans="1:17" ht="12.75" customHeight="1" x14ac:dyDescent="0.3">
      <c r="A784" s="6"/>
      <c r="B784" s="19">
        <v>781</v>
      </c>
      <c r="C784" s="14"/>
      <c r="D784" s="21">
        <f>NamaPelanggan!D784</f>
        <v>0</v>
      </c>
      <c r="E784" s="14"/>
      <c r="F784" s="16"/>
      <c r="G784" s="16"/>
      <c r="H784" s="16"/>
      <c r="I784" s="16"/>
      <c r="J784" s="16"/>
      <c r="K784" s="16"/>
      <c r="L784" s="14"/>
      <c r="M784" s="16"/>
      <c r="N784" s="14"/>
      <c r="O784" s="6"/>
      <c r="P784" s="6"/>
      <c r="Q784" s="6"/>
    </row>
    <row r="785" spans="1:17" ht="12.75" customHeight="1" x14ac:dyDescent="0.3">
      <c r="A785" s="6"/>
      <c r="B785" s="19">
        <v>782</v>
      </c>
      <c r="C785" s="14"/>
      <c r="D785" s="21">
        <f>NamaPelanggan!D785</f>
        <v>0</v>
      </c>
      <c r="E785" s="14"/>
      <c r="F785" s="16"/>
      <c r="G785" s="16"/>
      <c r="H785" s="16"/>
      <c r="I785" s="16"/>
      <c r="J785" s="16"/>
      <c r="K785" s="16"/>
      <c r="L785" s="14"/>
      <c r="M785" s="16"/>
      <c r="N785" s="14"/>
      <c r="O785" s="6"/>
      <c r="P785" s="6"/>
      <c r="Q785" s="6"/>
    </row>
    <row r="786" spans="1:17" ht="12.75" customHeight="1" x14ac:dyDescent="0.3">
      <c r="A786" s="6"/>
      <c r="B786" s="19">
        <v>783</v>
      </c>
      <c r="C786" s="14"/>
      <c r="D786" s="21">
        <f>NamaPelanggan!D786</f>
        <v>0</v>
      </c>
      <c r="E786" s="14"/>
      <c r="F786" s="16"/>
      <c r="G786" s="16"/>
      <c r="H786" s="16"/>
      <c r="I786" s="16"/>
      <c r="J786" s="16"/>
      <c r="K786" s="16"/>
      <c r="L786" s="14"/>
      <c r="M786" s="16"/>
      <c r="N786" s="14"/>
      <c r="O786" s="6"/>
      <c r="P786" s="6"/>
      <c r="Q786" s="6"/>
    </row>
    <row r="787" spans="1:17" ht="12.75" customHeight="1" x14ac:dyDescent="0.3">
      <c r="A787" s="6"/>
      <c r="B787" s="19">
        <v>784</v>
      </c>
      <c r="C787" s="14"/>
      <c r="D787" s="21">
        <f>NamaPelanggan!D787</f>
        <v>0</v>
      </c>
      <c r="E787" s="14"/>
      <c r="F787" s="16"/>
      <c r="G787" s="16"/>
      <c r="H787" s="16"/>
      <c r="I787" s="16"/>
      <c r="J787" s="16"/>
      <c r="K787" s="16"/>
      <c r="L787" s="14"/>
      <c r="M787" s="16"/>
      <c r="N787" s="14"/>
      <c r="O787" s="6"/>
      <c r="P787" s="6"/>
      <c r="Q787" s="6"/>
    </row>
    <row r="788" spans="1:17" ht="12.75" customHeight="1" x14ac:dyDescent="0.3">
      <c r="A788" s="6"/>
      <c r="B788" s="19">
        <v>785</v>
      </c>
      <c r="C788" s="14"/>
      <c r="D788" s="21">
        <f>NamaPelanggan!D788</f>
        <v>0</v>
      </c>
      <c r="E788" s="14"/>
      <c r="F788" s="16"/>
      <c r="G788" s="16"/>
      <c r="H788" s="16"/>
      <c r="I788" s="16"/>
      <c r="J788" s="16"/>
      <c r="K788" s="16"/>
      <c r="L788" s="14"/>
      <c r="M788" s="16"/>
      <c r="N788" s="14"/>
      <c r="O788" s="6"/>
      <c r="P788" s="6"/>
      <c r="Q788" s="6"/>
    </row>
    <row r="789" spans="1:17" ht="12.75" customHeight="1" x14ac:dyDescent="0.3">
      <c r="A789" s="6"/>
      <c r="B789" s="19">
        <v>786</v>
      </c>
      <c r="C789" s="14"/>
      <c r="D789" s="21">
        <f>NamaPelanggan!D789</f>
        <v>0</v>
      </c>
      <c r="E789" s="14"/>
      <c r="F789" s="16"/>
      <c r="G789" s="16"/>
      <c r="H789" s="16"/>
      <c r="I789" s="16"/>
      <c r="J789" s="16"/>
      <c r="K789" s="16"/>
      <c r="L789" s="14"/>
      <c r="M789" s="16"/>
      <c r="N789" s="14"/>
      <c r="O789" s="6"/>
      <c r="P789" s="6"/>
      <c r="Q789" s="6"/>
    </row>
    <row r="790" spans="1:17" ht="12.75" customHeight="1" x14ac:dyDescent="0.3">
      <c r="A790" s="6"/>
      <c r="B790" s="19">
        <v>787</v>
      </c>
      <c r="C790" s="14"/>
      <c r="D790" s="21">
        <f>NamaPelanggan!D790</f>
        <v>0</v>
      </c>
      <c r="E790" s="14"/>
      <c r="F790" s="16"/>
      <c r="G790" s="16"/>
      <c r="H790" s="16"/>
      <c r="I790" s="16"/>
      <c r="J790" s="16"/>
      <c r="K790" s="16"/>
      <c r="L790" s="14"/>
      <c r="M790" s="16"/>
      <c r="N790" s="14"/>
      <c r="O790" s="6"/>
      <c r="P790" s="6"/>
      <c r="Q790" s="6"/>
    </row>
    <row r="791" spans="1:17" ht="12.75" customHeight="1" x14ac:dyDescent="0.3">
      <c r="A791" s="6"/>
      <c r="B791" s="19">
        <v>788</v>
      </c>
      <c r="C791" s="14"/>
      <c r="D791" s="21">
        <f>NamaPelanggan!D791</f>
        <v>0</v>
      </c>
      <c r="E791" s="14"/>
      <c r="F791" s="16"/>
      <c r="G791" s="16"/>
      <c r="H791" s="16"/>
      <c r="I791" s="16"/>
      <c r="J791" s="16"/>
      <c r="K791" s="16"/>
      <c r="L791" s="14"/>
      <c r="M791" s="16"/>
      <c r="N791" s="14"/>
      <c r="O791" s="6"/>
      <c r="P791" s="6"/>
      <c r="Q791" s="6"/>
    </row>
    <row r="792" spans="1:17" ht="12.75" customHeight="1" x14ac:dyDescent="0.3">
      <c r="A792" s="6"/>
      <c r="B792" s="19">
        <v>789</v>
      </c>
      <c r="C792" s="14"/>
      <c r="D792" s="21">
        <f>NamaPelanggan!D792</f>
        <v>0</v>
      </c>
      <c r="E792" s="14"/>
      <c r="F792" s="16"/>
      <c r="G792" s="16"/>
      <c r="H792" s="16"/>
      <c r="I792" s="16"/>
      <c r="J792" s="16"/>
      <c r="K792" s="16"/>
      <c r="L792" s="14"/>
      <c r="M792" s="16"/>
      <c r="N792" s="14"/>
      <c r="O792" s="6"/>
      <c r="P792" s="6"/>
      <c r="Q792" s="6"/>
    </row>
    <row r="793" spans="1:17" ht="12.75" customHeight="1" x14ac:dyDescent="0.3">
      <c r="A793" s="6"/>
      <c r="B793" s="19">
        <v>790</v>
      </c>
      <c r="C793" s="14"/>
      <c r="D793" s="21">
        <f>NamaPelanggan!D793</f>
        <v>0</v>
      </c>
      <c r="E793" s="14"/>
      <c r="F793" s="16"/>
      <c r="G793" s="16"/>
      <c r="H793" s="16"/>
      <c r="I793" s="16"/>
      <c r="J793" s="16"/>
      <c r="K793" s="16"/>
      <c r="L793" s="14"/>
      <c r="M793" s="16"/>
      <c r="N793" s="14"/>
      <c r="O793" s="6"/>
      <c r="P793" s="6"/>
      <c r="Q793" s="6"/>
    </row>
    <row r="794" spans="1:17" ht="12.75" customHeight="1" x14ac:dyDescent="0.3">
      <c r="A794" s="6"/>
      <c r="B794" s="19">
        <v>791</v>
      </c>
      <c r="C794" s="14"/>
      <c r="D794" s="21">
        <f>NamaPelanggan!D794</f>
        <v>0</v>
      </c>
      <c r="E794" s="14"/>
      <c r="F794" s="16"/>
      <c r="G794" s="16"/>
      <c r="H794" s="16"/>
      <c r="I794" s="16"/>
      <c r="J794" s="16"/>
      <c r="K794" s="16"/>
      <c r="L794" s="14"/>
      <c r="M794" s="16"/>
      <c r="N794" s="14"/>
      <c r="O794" s="6"/>
      <c r="P794" s="6"/>
      <c r="Q794" s="6"/>
    </row>
    <row r="795" spans="1:17" ht="12.75" customHeight="1" x14ac:dyDescent="0.3">
      <c r="A795" s="6"/>
      <c r="B795" s="19">
        <v>792</v>
      </c>
      <c r="C795" s="14"/>
      <c r="D795" s="21">
        <f>NamaPelanggan!D795</f>
        <v>0</v>
      </c>
      <c r="E795" s="14"/>
      <c r="F795" s="16"/>
      <c r="G795" s="16"/>
      <c r="H795" s="16"/>
      <c r="I795" s="16"/>
      <c r="J795" s="16"/>
      <c r="K795" s="16"/>
      <c r="L795" s="14"/>
      <c r="M795" s="16"/>
      <c r="N795" s="14"/>
      <c r="O795" s="6"/>
      <c r="P795" s="6"/>
      <c r="Q795" s="6"/>
    </row>
    <row r="796" spans="1:17" ht="12.75" customHeight="1" x14ac:dyDescent="0.3">
      <c r="A796" s="6"/>
      <c r="B796" s="19">
        <v>793</v>
      </c>
      <c r="C796" s="14"/>
      <c r="D796" s="21">
        <f>NamaPelanggan!D796</f>
        <v>0</v>
      </c>
      <c r="E796" s="14"/>
      <c r="F796" s="16"/>
      <c r="G796" s="16"/>
      <c r="H796" s="16"/>
      <c r="I796" s="16"/>
      <c r="J796" s="16"/>
      <c r="K796" s="16"/>
      <c r="L796" s="14"/>
      <c r="M796" s="16"/>
      <c r="N796" s="14"/>
      <c r="O796" s="6"/>
      <c r="P796" s="6"/>
      <c r="Q796" s="6"/>
    </row>
    <row r="797" spans="1:17" ht="12.75" customHeight="1" x14ac:dyDescent="0.3">
      <c r="A797" s="6"/>
      <c r="B797" s="19">
        <v>794</v>
      </c>
      <c r="C797" s="14"/>
      <c r="D797" s="21">
        <f>NamaPelanggan!D797</f>
        <v>0</v>
      </c>
      <c r="E797" s="14"/>
      <c r="F797" s="16"/>
      <c r="G797" s="16"/>
      <c r="H797" s="16"/>
      <c r="I797" s="16"/>
      <c r="J797" s="16"/>
      <c r="K797" s="16"/>
      <c r="L797" s="14"/>
      <c r="M797" s="16"/>
      <c r="N797" s="14"/>
      <c r="O797" s="6"/>
      <c r="P797" s="6"/>
      <c r="Q797" s="6"/>
    </row>
    <row r="798" spans="1:17" ht="12.75" customHeight="1" x14ac:dyDescent="0.3">
      <c r="A798" s="6"/>
      <c r="B798" s="19">
        <v>795</v>
      </c>
      <c r="C798" s="14"/>
      <c r="D798" s="21">
        <f>NamaPelanggan!D798</f>
        <v>0</v>
      </c>
      <c r="E798" s="14"/>
      <c r="F798" s="16"/>
      <c r="G798" s="16"/>
      <c r="H798" s="16"/>
      <c r="I798" s="16"/>
      <c r="J798" s="16"/>
      <c r="K798" s="16"/>
      <c r="L798" s="14"/>
      <c r="M798" s="16"/>
      <c r="N798" s="14"/>
      <c r="O798" s="6"/>
      <c r="P798" s="6"/>
      <c r="Q798" s="6"/>
    </row>
    <row r="799" spans="1:17" ht="12.75" customHeight="1" x14ac:dyDescent="0.3">
      <c r="A799" s="6"/>
      <c r="B799" s="19">
        <v>796</v>
      </c>
      <c r="C799" s="14"/>
      <c r="D799" s="21">
        <f>NamaPelanggan!D799</f>
        <v>0</v>
      </c>
      <c r="E799" s="14"/>
      <c r="F799" s="16"/>
      <c r="G799" s="16"/>
      <c r="H799" s="16"/>
      <c r="I799" s="16"/>
      <c r="J799" s="16"/>
      <c r="K799" s="16"/>
      <c r="L799" s="14"/>
      <c r="M799" s="16"/>
      <c r="N799" s="14"/>
      <c r="O799" s="6"/>
      <c r="P799" s="6"/>
      <c r="Q799" s="6"/>
    </row>
    <row r="800" spans="1:17" ht="12.75" customHeight="1" x14ac:dyDescent="0.3">
      <c r="A800" s="6"/>
      <c r="B800" s="19">
        <v>797</v>
      </c>
      <c r="C800" s="14"/>
      <c r="D800" s="21">
        <f>NamaPelanggan!D800</f>
        <v>0</v>
      </c>
      <c r="E800" s="14"/>
      <c r="F800" s="16"/>
      <c r="G800" s="16"/>
      <c r="H800" s="16"/>
      <c r="I800" s="16"/>
      <c r="J800" s="16"/>
      <c r="K800" s="16"/>
      <c r="L800" s="14"/>
      <c r="M800" s="16"/>
      <c r="N800" s="14"/>
      <c r="O800" s="6"/>
      <c r="P800" s="6"/>
      <c r="Q800" s="6"/>
    </row>
    <row r="801" spans="1:17" ht="12.75" customHeight="1" x14ac:dyDescent="0.3">
      <c r="A801" s="6"/>
      <c r="B801" s="19">
        <v>798</v>
      </c>
      <c r="C801" s="14"/>
      <c r="D801" s="21">
        <f>NamaPelanggan!D801</f>
        <v>0</v>
      </c>
      <c r="E801" s="14"/>
      <c r="F801" s="16"/>
      <c r="G801" s="16"/>
      <c r="H801" s="16"/>
      <c r="I801" s="16"/>
      <c r="J801" s="16"/>
      <c r="K801" s="16"/>
      <c r="L801" s="14"/>
      <c r="M801" s="16"/>
      <c r="N801" s="14"/>
      <c r="O801" s="6"/>
      <c r="P801" s="6"/>
      <c r="Q801" s="6"/>
    </row>
    <row r="802" spans="1:17" ht="12.75" customHeight="1" x14ac:dyDescent="0.3">
      <c r="A802" s="6"/>
      <c r="B802" s="19">
        <v>799</v>
      </c>
      <c r="C802" s="14"/>
      <c r="D802" s="21">
        <f>NamaPelanggan!D802</f>
        <v>0</v>
      </c>
      <c r="E802" s="14"/>
      <c r="F802" s="16"/>
      <c r="G802" s="16"/>
      <c r="H802" s="16"/>
      <c r="I802" s="16"/>
      <c r="J802" s="16"/>
      <c r="K802" s="16"/>
      <c r="L802" s="14"/>
      <c r="M802" s="16"/>
      <c r="N802" s="14"/>
      <c r="O802" s="6"/>
      <c r="P802" s="6"/>
      <c r="Q802" s="6"/>
    </row>
    <row r="803" spans="1:17" ht="12.75" customHeight="1" x14ac:dyDescent="0.3">
      <c r="A803" s="6"/>
      <c r="B803" s="19">
        <v>800</v>
      </c>
      <c r="C803" s="14"/>
      <c r="D803" s="21">
        <f>NamaPelanggan!D803</f>
        <v>0</v>
      </c>
      <c r="E803" s="14"/>
      <c r="F803" s="16"/>
      <c r="G803" s="16"/>
      <c r="H803" s="16"/>
      <c r="I803" s="16"/>
      <c r="J803" s="16"/>
      <c r="K803" s="16"/>
      <c r="L803" s="14"/>
      <c r="M803" s="16"/>
      <c r="N803" s="14"/>
      <c r="O803" s="6"/>
      <c r="P803" s="6"/>
      <c r="Q803" s="6"/>
    </row>
    <row r="804" spans="1:17" ht="12.75" customHeight="1" x14ac:dyDescent="0.3">
      <c r="A804" s="6"/>
      <c r="B804" s="19">
        <v>801</v>
      </c>
      <c r="C804" s="14"/>
      <c r="D804" s="21">
        <f>NamaPelanggan!D804</f>
        <v>0</v>
      </c>
      <c r="E804" s="14"/>
      <c r="F804" s="16"/>
      <c r="G804" s="16"/>
      <c r="H804" s="16"/>
      <c r="I804" s="16"/>
      <c r="J804" s="16"/>
      <c r="K804" s="16"/>
      <c r="L804" s="14"/>
      <c r="M804" s="16"/>
      <c r="N804" s="14"/>
      <c r="O804" s="6"/>
      <c r="P804" s="6"/>
      <c r="Q804" s="6"/>
    </row>
    <row r="805" spans="1:17" ht="12.75" customHeight="1" x14ac:dyDescent="0.3">
      <c r="A805" s="6"/>
      <c r="B805" s="19">
        <v>802</v>
      </c>
      <c r="C805" s="14"/>
      <c r="D805" s="21">
        <f>NamaPelanggan!D805</f>
        <v>0</v>
      </c>
      <c r="E805" s="14"/>
      <c r="F805" s="16"/>
      <c r="G805" s="16"/>
      <c r="H805" s="16"/>
      <c r="I805" s="16"/>
      <c r="J805" s="16"/>
      <c r="K805" s="16"/>
      <c r="L805" s="14"/>
      <c r="M805" s="16"/>
      <c r="N805" s="14"/>
      <c r="O805" s="6"/>
      <c r="P805" s="6"/>
      <c r="Q805" s="6"/>
    </row>
    <row r="806" spans="1:17" ht="12.75" customHeight="1" x14ac:dyDescent="0.3">
      <c r="A806" s="6"/>
      <c r="B806" s="19">
        <v>803</v>
      </c>
      <c r="C806" s="14"/>
      <c r="D806" s="21">
        <f>NamaPelanggan!D806</f>
        <v>0</v>
      </c>
      <c r="E806" s="14"/>
      <c r="F806" s="16"/>
      <c r="G806" s="16"/>
      <c r="H806" s="16"/>
      <c r="I806" s="16"/>
      <c r="J806" s="16"/>
      <c r="K806" s="16"/>
      <c r="L806" s="14"/>
      <c r="M806" s="16"/>
      <c r="N806" s="14"/>
      <c r="O806" s="6"/>
      <c r="P806" s="6"/>
      <c r="Q806" s="6"/>
    </row>
    <row r="807" spans="1:17" ht="12.75" customHeight="1" x14ac:dyDescent="0.3">
      <c r="A807" s="6"/>
      <c r="B807" s="19">
        <v>804</v>
      </c>
      <c r="C807" s="14"/>
      <c r="D807" s="21">
        <f>NamaPelanggan!D807</f>
        <v>0</v>
      </c>
      <c r="E807" s="14"/>
      <c r="F807" s="16"/>
      <c r="G807" s="16"/>
      <c r="H807" s="16"/>
      <c r="I807" s="16"/>
      <c r="J807" s="16"/>
      <c r="K807" s="16"/>
      <c r="L807" s="14"/>
      <c r="M807" s="16"/>
      <c r="N807" s="14"/>
      <c r="O807" s="6"/>
      <c r="P807" s="6"/>
      <c r="Q807" s="6"/>
    </row>
    <row r="808" spans="1:17" ht="12.75" customHeight="1" x14ac:dyDescent="0.3">
      <c r="A808" s="6"/>
      <c r="B808" s="19">
        <v>805</v>
      </c>
      <c r="C808" s="14"/>
      <c r="D808" s="21">
        <f>NamaPelanggan!D808</f>
        <v>0</v>
      </c>
      <c r="E808" s="14"/>
      <c r="F808" s="16"/>
      <c r="G808" s="16"/>
      <c r="H808" s="16"/>
      <c r="I808" s="16"/>
      <c r="J808" s="16"/>
      <c r="K808" s="16"/>
      <c r="L808" s="14"/>
      <c r="M808" s="16"/>
      <c r="N808" s="14"/>
      <c r="O808" s="6"/>
      <c r="P808" s="6"/>
      <c r="Q808" s="6"/>
    </row>
    <row r="809" spans="1:17" ht="12.75" customHeight="1" x14ac:dyDescent="0.3">
      <c r="A809" s="6"/>
      <c r="B809" s="19">
        <v>806</v>
      </c>
      <c r="C809" s="14"/>
      <c r="D809" s="21">
        <f>NamaPelanggan!D809</f>
        <v>0</v>
      </c>
      <c r="E809" s="14"/>
      <c r="F809" s="16"/>
      <c r="G809" s="16"/>
      <c r="H809" s="16"/>
      <c r="I809" s="16"/>
      <c r="J809" s="16"/>
      <c r="K809" s="16"/>
      <c r="L809" s="14"/>
      <c r="M809" s="16"/>
      <c r="N809" s="14"/>
      <c r="O809" s="6"/>
      <c r="P809" s="6"/>
      <c r="Q809" s="6"/>
    </row>
    <row r="810" spans="1:17" ht="12.75" customHeight="1" x14ac:dyDescent="0.3">
      <c r="A810" s="6"/>
      <c r="B810" s="19">
        <v>807</v>
      </c>
      <c r="C810" s="14"/>
      <c r="D810" s="21">
        <f>NamaPelanggan!D810</f>
        <v>0</v>
      </c>
      <c r="E810" s="14"/>
      <c r="F810" s="16"/>
      <c r="G810" s="16"/>
      <c r="H810" s="16"/>
      <c r="I810" s="16"/>
      <c r="J810" s="16"/>
      <c r="K810" s="16"/>
      <c r="L810" s="14"/>
      <c r="M810" s="16"/>
      <c r="N810" s="14"/>
      <c r="O810" s="6"/>
      <c r="P810" s="6"/>
      <c r="Q810" s="6"/>
    </row>
    <row r="811" spans="1:17" ht="12.75" customHeight="1" x14ac:dyDescent="0.3">
      <c r="A811" s="6"/>
      <c r="B811" s="19">
        <v>808</v>
      </c>
      <c r="C811" s="14"/>
      <c r="D811" s="21">
        <f>NamaPelanggan!D811</f>
        <v>0</v>
      </c>
      <c r="E811" s="14"/>
      <c r="F811" s="16"/>
      <c r="G811" s="16"/>
      <c r="H811" s="16"/>
      <c r="I811" s="16"/>
      <c r="J811" s="16"/>
      <c r="K811" s="16"/>
      <c r="L811" s="14"/>
      <c r="M811" s="16"/>
      <c r="N811" s="14"/>
      <c r="O811" s="6"/>
      <c r="P811" s="6"/>
      <c r="Q811" s="6"/>
    </row>
    <row r="812" spans="1:17" ht="12.75" customHeight="1" x14ac:dyDescent="0.3">
      <c r="A812" s="6"/>
      <c r="B812" s="19">
        <v>809</v>
      </c>
      <c r="C812" s="14"/>
      <c r="D812" s="21">
        <f>NamaPelanggan!D812</f>
        <v>0</v>
      </c>
      <c r="E812" s="14"/>
      <c r="F812" s="16"/>
      <c r="G812" s="16"/>
      <c r="H812" s="16"/>
      <c r="I812" s="16"/>
      <c r="J812" s="16"/>
      <c r="K812" s="16"/>
      <c r="L812" s="14"/>
      <c r="M812" s="16"/>
      <c r="N812" s="14"/>
      <c r="O812" s="6"/>
      <c r="P812" s="6"/>
      <c r="Q812" s="6"/>
    </row>
    <row r="813" spans="1:17" ht="12.75" customHeight="1" x14ac:dyDescent="0.3">
      <c r="A813" s="6"/>
      <c r="B813" s="19">
        <v>810</v>
      </c>
      <c r="C813" s="14"/>
      <c r="D813" s="21">
        <f>NamaPelanggan!D813</f>
        <v>0</v>
      </c>
      <c r="E813" s="14"/>
      <c r="F813" s="16"/>
      <c r="G813" s="16"/>
      <c r="H813" s="16"/>
      <c r="I813" s="16"/>
      <c r="J813" s="16"/>
      <c r="K813" s="16"/>
      <c r="L813" s="14"/>
      <c r="M813" s="16"/>
      <c r="N813" s="14"/>
      <c r="O813" s="6"/>
      <c r="P813" s="6"/>
      <c r="Q813" s="6"/>
    </row>
    <row r="814" spans="1:17" ht="12.75" customHeight="1" x14ac:dyDescent="0.3">
      <c r="A814" s="6"/>
      <c r="B814" s="19">
        <v>811</v>
      </c>
      <c r="C814" s="14"/>
      <c r="D814" s="21">
        <f>NamaPelanggan!D814</f>
        <v>0</v>
      </c>
      <c r="E814" s="14"/>
      <c r="F814" s="16"/>
      <c r="G814" s="16"/>
      <c r="H814" s="16"/>
      <c r="I814" s="16"/>
      <c r="J814" s="16"/>
      <c r="K814" s="16"/>
      <c r="L814" s="14"/>
      <c r="M814" s="16"/>
      <c r="N814" s="14"/>
      <c r="O814" s="6"/>
      <c r="P814" s="6"/>
      <c r="Q814" s="6"/>
    </row>
    <row r="815" spans="1:17" ht="12.75" customHeight="1" x14ac:dyDescent="0.3">
      <c r="A815" s="6"/>
      <c r="B815" s="19">
        <v>812</v>
      </c>
      <c r="C815" s="14"/>
      <c r="D815" s="21">
        <f>NamaPelanggan!D815</f>
        <v>0</v>
      </c>
      <c r="E815" s="14"/>
      <c r="F815" s="16"/>
      <c r="G815" s="16"/>
      <c r="H815" s="16"/>
      <c r="I815" s="16"/>
      <c r="J815" s="16"/>
      <c r="K815" s="16"/>
      <c r="L815" s="14"/>
      <c r="M815" s="16"/>
      <c r="N815" s="14"/>
      <c r="O815" s="6"/>
      <c r="P815" s="6"/>
      <c r="Q815" s="6"/>
    </row>
    <row r="816" spans="1:17" ht="12.75" customHeight="1" x14ac:dyDescent="0.3">
      <c r="A816" s="6"/>
      <c r="B816" s="19">
        <v>813</v>
      </c>
      <c r="C816" s="14"/>
      <c r="D816" s="21">
        <f>NamaPelanggan!D816</f>
        <v>0</v>
      </c>
      <c r="E816" s="14"/>
      <c r="F816" s="16"/>
      <c r="G816" s="16"/>
      <c r="H816" s="16"/>
      <c r="I816" s="16"/>
      <c r="J816" s="16"/>
      <c r="K816" s="16"/>
      <c r="L816" s="14"/>
      <c r="M816" s="16"/>
      <c r="N816" s="14"/>
      <c r="O816" s="6"/>
      <c r="P816" s="6"/>
      <c r="Q816" s="6"/>
    </row>
    <row r="817" spans="1:17" ht="12.75" customHeight="1" x14ac:dyDescent="0.3">
      <c r="A817" s="6"/>
      <c r="B817" s="19">
        <v>814</v>
      </c>
      <c r="C817" s="14"/>
      <c r="D817" s="21">
        <f>NamaPelanggan!D817</f>
        <v>0</v>
      </c>
      <c r="E817" s="14"/>
      <c r="F817" s="16"/>
      <c r="G817" s="16"/>
      <c r="H817" s="16"/>
      <c r="I817" s="16"/>
      <c r="J817" s="16"/>
      <c r="K817" s="16"/>
      <c r="L817" s="14"/>
      <c r="M817" s="16"/>
      <c r="N817" s="14"/>
      <c r="O817" s="6"/>
      <c r="P817" s="6"/>
      <c r="Q817" s="6"/>
    </row>
    <row r="818" spans="1:17" ht="12.75" customHeight="1" x14ac:dyDescent="0.3">
      <c r="A818" s="6"/>
      <c r="B818" s="19">
        <v>815</v>
      </c>
      <c r="C818" s="14"/>
      <c r="D818" s="21">
        <f>NamaPelanggan!D818</f>
        <v>0</v>
      </c>
      <c r="E818" s="14"/>
      <c r="F818" s="16"/>
      <c r="G818" s="16"/>
      <c r="H818" s="16"/>
      <c r="I818" s="16"/>
      <c r="J818" s="16"/>
      <c r="K818" s="16"/>
      <c r="L818" s="14"/>
      <c r="M818" s="16"/>
      <c r="N818" s="14"/>
      <c r="O818" s="6"/>
      <c r="P818" s="6"/>
      <c r="Q818" s="6"/>
    </row>
    <row r="819" spans="1:17" ht="12.75" customHeight="1" x14ac:dyDescent="0.3">
      <c r="A819" s="6"/>
      <c r="B819" s="19">
        <v>816</v>
      </c>
      <c r="C819" s="14"/>
      <c r="D819" s="21">
        <f>NamaPelanggan!D819</f>
        <v>0</v>
      </c>
      <c r="E819" s="14"/>
      <c r="F819" s="16"/>
      <c r="G819" s="16"/>
      <c r="H819" s="16"/>
      <c r="I819" s="16"/>
      <c r="J819" s="16"/>
      <c r="K819" s="16"/>
      <c r="L819" s="14"/>
      <c r="M819" s="16"/>
      <c r="N819" s="14"/>
      <c r="O819" s="6"/>
      <c r="P819" s="6"/>
      <c r="Q819" s="6"/>
    </row>
    <row r="820" spans="1:17" ht="12.75" customHeight="1" x14ac:dyDescent="0.3">
      <c r="A820" s="6"/>
      <c r="B820" s="19">
        <v>817</v>
      </c>
      <c r="C820" s="14"/>
      <c r="D820" s="21">
        <f>NamaPelanggan!D820</f>
        <v>0</v>
      </c>
      <c r="E820" s="14"/>
      <c r="F820" s="16"/>
      <c r="G820" s="16"/>
      <c r="H820" s="16"/>
      <c r="I820" s="16"/>
      <c r="J820" s="16"/>
      <c r="K820" s="16"/>
      <c r="L820" s="14"/>
      <c r="M820" s="16"/>
      <c r="N820" s="14"/>
      <c r="O820" s="6"/>
      <c r="P820" s="6"/>
      <c r="Q820" s="6"/>
    </row>
    <row r="821" spans="1:17" ht="12.75" customHeight="1" x14ac:dyDescent="0.3">
      <c r="A821" s="6"/>
      <c r="B821" s="19">
        <v>818</v>
      </c>
      <c r="C821" s="14"/>
      <c r="D821" s="21">
        <f>NamaPelanggan!D821</f>
        <v>0</v>
      </c>
      <c r="E821" s="14"/>
      <c r="F821" s="16"/>
      <c r="G821" s="16"/>
      <c r="H821" s="16"/>
      <c r="I821" s="16"/>
      <c r="J821" s="16"/>
      <c r="K821" s="16"/>
      <c r="L821" s="14"/>
      <c r="M821" s="16"/>
      <c r="N821" s="14"/>
      <c r="O821" s="6"/>
      <c r="P821" s="6"/>
      <c r="Q821" s="6"/>
    </row>
    <row r="822" spans="1:17" ht="12.75" customHeight="1" x14ac:dyDescent="0.3">
      <c r="A822" s="6"/>
      <c r="B822" s="19">
        <v>819</v>
      </c>
      <c r="C822" s="14"/>
      <c r="D822" s="21">
        <f>NamaPelanggan!D822</f>
        <v>0</v>
      </c>
      <c r="E822" s="14"/>
      <c r="F822" s="16"/>
      <c r="G822" s="16"/>
      <c r="H822" s="16"/>
      <c r="I822" s="16"/>
      <c r="J822" s="16"/>
      <c r="K822" s="16"/>
      <c r="L822" s="14"/>
      <c r="M822" s="16"/>
      <c r="N822" s="14"/>
      <c r="O822" s="6"/>
      <c r="P822" s="6"/>
      <c r="Q822" s="6"/>
    </row>
    <row r="823" spans="1:17" ht="12.75" customHeight="1" x14ac:dyDescent="0.3">
      <c r="A823" s="6"/>
      <c r="B823" s="19">
        <v>820</v>
      </c>
      <c r="C823" s="14"/>
      <c r="D823" s="21">
        <f>NamaPelanggan!D823</f>
        <v>0</v>
      </c>
      <c r="E823" s="14"/>
      <c r="F823" s="16"/>
      <c r="G823" s="16"/>
      <c r="H823" s="16"/>
      <c r="I823" s="16"/>
      <c r="J823" s="16"/>
      <c r="K823" s="16"/>
      <c r="L823" s="14"/>
      <c r="M823" s="16"/>
      <c r="N823" s="14"/>
      <c r="O823" s="6"/>
      <c r="P823" s="6"/>
      <c r="Q823" s="6"/>
    </row>
    <row r="824" spans="1:17" ht="12.75" customHeight="1" x14ac:dyDescent="0.3">
      <c r="A824" s="6"/>
      <c r="B824" s="19">
        <v>821</v>
      </c>
      <c r="C824" s="14"/>
      <c r="D824" s="21">
        <f>NamaPelanggan!D824</f>
        <v>0</v>
      </c>
      <c r="E824" s="14"/>
      <c r="F824" s="16"/>
      <c r="G824" s="16"/>
      <c r="H824" s="16"/>
      <c r="I824" s="16"/>
      <c r="J824" s="16"/>
      <c r="K824" s="16"/>
      <c r="L824" s="14"/>
      <c r="M824" s="16"/>
      <c r="N824" s="14"/>
      <c r="O824" s="6"/>
      <c r="P824" s="6"/>
      <c r="Q824" s="6"/>
    </row>
    <row r="825" spans="1:17" ht="12.75" customHeight="1" x14ac:dyDescent="0.3">
      <c r="A825" s="6"/>
      <c r="B825" s="19">
        <v>822</v>
      </c>
      <c r="C825" s="14"/>
      <c r="D825" s="21">
        <f>NamaPelanggan!D825</f>
        <v>0</v>
      </c>
      <c r="E825" s="14"/>
      <c r="F825" s="16"/>
      <c r="G825" s="16"/>
      <c r="H825" s="16"/>
      <c r="I825" s="16"/>
      <c r="J825" s="16"/>
      <c r="K825" s="16"/>
      <c r="L825" s="14"/>
      <c r="M825" s="16"/>
      <c r="N825" s="14"/>
      <c r="O825" s="6"/>
      <c r="P825" s="6"/>
      <c r="Q825" s="6"/>
    </row>
    <row r="826" spans="1:17" ht="12.75" customHeight="1" x14ac:dyDescent="0.3">
      <c r="A826" s="6"/>
      <c r="B826" s="19">
        <v>823</v>
      </c>
      <c r="C826" s="14"/>
      <c r="D826" s="21">
        <f>NamaPelanggan!D826</f>
        <v>0</v>
      </c>
      <c r="E826" s="14"/>
      <c r="F826" s="16"/>
      <c r="G826" s="16"/>
      <c r="H826" s="16"/>
      <c r="I826" s="16"/>
      <c r="J826" s="16"/>
      <c r="K826" s="16"/>
      <c r="L826" s="14"/>
      <c r="M826" s="16"/>
      <c r="N826" s="14"/>
      <c r="O826" s="6"/>
      <c r="P826" s="6"/>
      <c r="Q826" s="6"/>
    </row>
    <row r="827" spans="1:17" ht="12.75" customHeight="1" x14ac:dyDescent="0.3">
      <c r="A827" s="6"/>
      <c r="B827" s="19">
        <v>824</v>
      </c>
      <c r="C827" s="14"/>
      <c r="D827" s="21">
        <f>NamaPelanggan!D827</f>
        <v>0</v>
      </c>
      <c r="E827" s="14"/>
      <c r="F827" s="16"/>
      <c r="G827" s="16"/>
      <c r="H827" s="16"/>
      <c r="I827" s="16"/>
      <c r="J827" s="16"/>
      <c r="K827" s="16"/>
      <c r="L827" s="14"/>
      <c r="M827" s="16"/>
      <c r="N827" s="14"/>
      <c r="O827" s="6"/>
      <c r="P827" s="6"/>
      <c r="Q827" s="6"/>
    </row>
    <row r="828" spans="1:17" ht="12.75" customHeight="1" x14ac:dyDescent="0.3">
      <c r="A828" s="6"/>
      <c r="B828" s="19">
        <v>825</v>
      </c>
      <c r="C828" s="14"/>
      <c r="D828" s="21">
        <f>NamaPelanggan!D828</f>
        <v>0</v>
      </c>
      <c r="E828" s="14"/>
      <c r="F828" s="16"/>
      <c r="G828" s="16"/>
      <c r="H828" s="16"/>
      <c r="I828" s="16"/>
      <c r="J828" s="16"/>
      <c r="K828" s="16"/>
      <c r="L828" s="14"/>
      <c r="M828" s="16"/>
      <c r="N828" s="14"/>
      <c r="O828" s="6"/>
      <c r="P828" s="6"/>
      <c r="Q828" s="6"/>
    </row>
    <row r="829" spans="1:17" ht="12.75" customHeight="1" x14ac:dyDescent="0.3">
      <c r="A829" s="6"/>
      <c r="B829" s="19">
        <v>826</v>
      </c>
      <c r="C829" s="14"/>
      <c r="D829" s="21">
        <f>NamaPelanggan!D829</f>
        <v>0</v>
      </c>
      <c r="E829" s="14"/>
      <c r="F829" s="16"/>
      <c r="G829" s="16"/>
      <c r="H829" s="16"/>
      <c r="I829" s="16"/>
      <c r="J829" s="16"/>
      <c r="K829" s="16"/>
      <c r="L829" s="14"/>
      <c r="M829" s="16"/>
      <c r="N829" s="14"/>
      <c r="O829" s="6"/>
      <c r="P829" s="6"/>
      <c r="Q829" s="6"/>
    </row>
    <row r="830" spans="1:17" ht="12.75" customHeight="1" x14ac:dyDescent="0.3">
      <c r="A830" s="6"/>
      <c r="B830" s="19">
        <v>827</v>
      </c>
      <c r="C830" s="14"/>
      <c r="D830" s="21">
        <f>NamaPelanggan!D830</f>
        <v>0</v>
      </c>
      <c r="E830" s="14"/>
      <c r="F830" s="16"/>
      <c r="G830" s="16"/>
      <c r="H830" s="16"/>
      <c r="I830" s="16"/>
      <c r="J830" s="16"/>
      <c r="K830" s="16"/>
      <c r="L830" s="14"/>
      <c r="M830" s="16"/>
      <c r="N830" s="14"/>
      <c r="O830" s="6"/>
      <c r="P830" s="6"/>
      <c r="Q830" s="6"/>
    </row>
    <row r="831" spans="1:17" ht="12.75" customHeight="1" x14ac:dyDescent="0.3">
      <c r="A831" s="6"/>
      <c r="B831" s="19">
        <v>828</v>
      </c>
      <c r="C831" s="14"/>
      <c r="D831" s="21">
        <f>NamaPelanggan!D831</f>
        <v>0</v>
      </c>
      <c r="E831" s="14"/>
      <c r="F831" s="16"/>
      <c r="G831" s="16"/>
      <c r="H831" s="16"/>
      <c r="I831" s="16"/>
      <c r="J831" s="16"/>
      <c r="K831" s="16"/>
      <c r="L831" s="14"/>
      <c r="M831" s="16"/>
      <c r="N831" s="14"/>
      <c r="O831" s="6"/>
      <c r="P831" s="6"/>
      <c r="Q831" s="6"/>
    </row>
    <row r="832" spans="1:17" ht="12.75" customHeight="1" x14ac:dyDescent="0.3">
      <c r="A832" s="6"/>
      <c r="B832" s="19">
        <v>829</v>
      </c>
      <c r="C832" s="14"/>
      <c r="D832" s="21">
        <f>NamaPelanggan!D832</f>
        <v>0</v>
      </c>
      <c r="E832" s="14"/>
      <c r="F832" s="16"/>
      <c r="G832" s="16"/>
      <c r="H832" s="16"/>
      <c r="I832" s="16"/>
      <c r="J832" s="16"/>
      <c r="K832" s="16"/>
      <c r="L832" s="14"/>
      <c r="M832" s="16"/>
      <c r="N832" s="14"/>
      <c r="O832" s="6"/>
      <c r="P832" s="6"/>
      <c r="Q832" s="6"/>
    </row>
    <row r="833" spans="1:17" ht="12.75" customHeight="1" x14ac:dyDescent="0.3">
      <c r="A833" s="6"/>
      <c r="B833" s="19">
        <v>830</v>
      </c>
      <c r="C833" s="14"/>
      <c r="D833" s="21">
        <f>NamaPelanggan!D833</f>
        <v>0</v>
      </c>
      <c r="E833" s="14"/>
      <c r="F833" s="16"/>
      <c r="G833" s="16"/>
      <c r="H833" s="16"/>
      <c r="I833" s="16"/>
      <c r="J833" s="16"/>
      <c r="K833" s="16"/>
      <c r="L833" s="14"/>
      <c r="M833" s="16"/>
      <c r="N833" s="14"/>
      <c r="O833" s="6"/>
      <c r="P833" s="6"/>
      <c r="Q833" s="6"/>
    </row>
    <row r="834" spans="1:17" ht="12.75" customHeight="1" x14ac:dyDescent="0.3">
      <c r="A834" s="6"/>
      <c r="B834" s="19">
        <v>831</v>
      </c>
      <c r="C834" s="14"/>
      <c r="D834" s="21">
        <f>NamaPelanggan!D834</f>
        <v>0</v>
      </c>
      <c r="E834" s="14"/>
      <c r="F834" s="16"/>
      <c r="G834" s="16"/>
      <c r="H834" s="16"/>
      <c r="I834" s="16"/>
      <c r="J834" s="16"/>
      <c r="K834" s="16"/>
      <c r="L834" s="14"/>
      <c r="M834" s="16"/>
      <c r="N834" s="14"/>
      <c r="O834" s="6"/>
      <c r="P834" s="6"/>
      <c r="Q834" s="6"/>
    </row>
    <row r="835" spans="1:17" ht="12.75" customHeight="1" x14ac:dyDescent="0.3">
      <c r="A835" s="6"/>
      <c r="B835" s="19">
        <v>832</v>
      </c>
      <c r="C835" s="14"/>
      <c r="D835" s="21">
        <f>NamaPelanggan!D835</f>
        <v>0</v>
      </c>
      <c r="E835" s="14"/>
      <c r="F835" s="16"/>
      <c r="G835" s="16"/>
      <c r="H835" s="16"/>
      <c r="I835" s="16"/>
      <c r="J835" s="16"/>
      <c r="K835" s="16"/>
      <c r="L835" s="14"/>
      <c r="M835" s="16"/>
      <c r="N835" s="14"/>
      <c r="O835" s="6"/>
      <c r="P835" s="6"/>
      <c r="Q835" s="6"/>
    </row>
    <row r="836" spans="1:17" ht="12.75" customHeight="1" x14ac:dyDescent="0.3">
      <c r="A836" s="6"/>
      <c r="B836" s="19">
        <v>833</v>
      </c>
      <c r="C836" s="14"/>
      <c r="D836" s="21">
        <f>NamaPelanggan!D836</f>
        <v>0</v>
      </c>
      <c r="E836" s="14"/>
      <c r="F836" s="16"/>
      <c r="G836" s="16"/>
      <c r="H836" s="16"/>
      <c r="I836" s="16"/>
      <c r="J836" s="16"/>
      <c r="K836" s="16"/>
      <c r="L836" s="14"/>
      <c r="M836" s="16"/>
      <c r="N836" s="14"/>
      <c r="O836" s="6"/>
      <c r="P836" s="6"/>
      <c r="Q836" s="6"/>
    </row>
    <row r="837" spans="1:17" ht="12.75" customHeight="1" x14ac:dyDescent="0.3">
      <c r="A837" s="6"/>
      <c r="B837" s="19">
        <v>834</v>
      </c>
      <c r="C837" s="14"/>
      <c r="D837" s="21">
        <f>NamaPelanggan!D837</f>
        <v>0</v>
      </c>
      <c r="E837" s="14"/>
      <c r="F837" s="16"/>
      <c r="G837" s="16"/>
      <c r="H837" s="16"/>
      <c r="I837" s="16"/>
      <c r="J837" s="16"/>
      <c r="K837" s="16"/>
      <c r="L837" s="14"/>
      <c r="M837" s="16"/>
      <c r="N837" s="14"/>
      <c r="O837" s="6"/>
      <c r="P837" s="6"/>
      <c r="Q837" s="6"/>
    </row>
    <row r="838" spans="1:17" ht="12.75" customHeight="1" x14ac:dyDescent="0.3">
      <c r="A838" s="6"/>
      <c r="B838" s="19">
        <v>835</v>
      </c>
      <c r="C838" s="14"/>
      <c r="D838" s="21">
        <f>NamaPelanggan!D838</f>
        <v>0</v>
      </c>
      <c r="E838" s="14"/>
      <c r="F838" s="16"/>
      <c r="G838" s="16"/>
      <c r="H838" s="16"/>
      <c r="I838" s="16"/>
      <c r="J838" s="16"/>
      <c r="K838" s="16"/>
      <c r="L838" s="14"/>
      <c r="M838" s="16"/>
      <c r="N838" s="14"/>
      <c r="O838" s="6"/>
      <c r="P838" s="6"/>
      <c r="Q838" s="6"/>
    </row>
    <row r="839" spans="1:17" ht="12.75" customHeight="1" x14ac:dyDescent="0.3">
      <c r="A839" s="6"/>
      <c r="B839" s="19">
        <v>836</v>
      </c>
      <c r="C839" s="14"/>
      <c r="D839" s="21">
        <f>NamaPelanggan!D839</f>
        <v>0</v>
      </c>
      <c r="E839" s="14"/>
      <c r="F839" s="16"/>
      <c r="G839" s="16"/>
      <c r="H839" s="16"/>
      <c r="I839" s="16"/>
      <c r="J839" s="16"/>
      <c r="K839" s="16"/>
      <c r="L839" s="14"/>
      <c r="M839" s="16"/>
      <c r="N839" s="14"/>
      <c r="O839" s="6"/>
      <c r="P839" s="6"/>
      <c r="Q839" s="6"/>
    </row>
    <row r="840" spans="1:17" ht="12.75" customHeight="1" x14ac:dyDescent="0.3">
      <c r="A840" s="6"/>
      <c r="B840" s="19">
        <v>837</v>
      </c>
      <c r="C840" s="14"/>
      <c r="D840" s="21">
        <f>NamaPelanggan!D840</f>
        <v>0</v>
      </c>
      <c r="E840" s="14"/>
      <c r="F840" s="16"/>
      <c r="G840" s="16"/>
      <c r="H840" s="16"/>
      <c r="I840" s="16"/>
      <c r="J840" s="16"/>
      <c r="K840" s="16"/>
      <c r="L840" s="14"/>
      <c r="M840" s="16"/>
      <c r="N840" s="14"/>
      <c r="O840" s="6"/>
      <c r="P840" s="6"/>
      <c r="Q840" s="6"/>
    </row>
    <row r="841" spans="1:17" ht="12.75" customHeight="1" x14ac:dyDescent="0.3">
      <c r="A841" s="6"/>
      <c r="B841" s="19">
        <v>838</v>
      </c>
      <c r="C841" s="14"/>
      <c r="D841" s="21">
        <f>NamaPelanggan!D841</f>
        <v>0</v>
      </c>
      <c r="E841" s="14"/>
      <c r="F841" s="16"/>
      <c r="G841" s="16"/>
      <c r="H841" s="16"/>
      <c r="I841" s="16"/>
      <c r="J841" s="16"/>
      <c r="K841" s="16"/>
      <c r="L841" s="14"/>
      <c r="M841" s="16"/>
      <c r="N841" s="14"/>
      <c r="O841" s="6"/>
      <c r="P841" s="6"/>
      <c r="Q841" s="6"/>
    </row>
    <row r="842" spans="1:17" ht="12.75" customHeight="1" x14ac:dyDescent="0.3">
      <c r="A842" s="6"/>
      <c r="B842" s="19">
        <v>839</v>
      </c>
      <c r="C842" s="14"/>
      <c r="D842" s="21">
        <f>NamaPelanggan!D842</f>
        <v>0</v>
      </c>
      <c r="E842" s="14"/>
      <c r="F842" s="16"/>
      <c r="G842" s="16"/>
      <c r="H842" s="16"/>
      <c r="I842" s="16"/>
      <c r="J842" s="16"/>
      <c r="K842" s="16"/>
      <c r="L842" s="14"/>
      <c r="M842" s="16"/>
      <c r="N842" s="14"/>
      <c r="O842" s="6"/>
      <c r="P842" s="6"/>
      <c r="Q842" s="6"/>
    </row>
    <row r="843" spans="1:17" ht="12.75" customHeight="1" x14ac:dyDescent="0.3">
      <c r="A843" s="6"/>
      <c r="B843" s="19">
        <v>840</v>
      </c>
      <c r="C843" s="14"/>
      <c r="D843" s="21">
        <f>NamaPelanggan!D843</f>
        <v>0</v>
      </c>
      <c r="E843" s="14"/>
      <c r="F843" s="16"/>
      <c r="G843" s="16"/>
      <c r="H843" s="16"/>
      <c r="I843" s="16"/>
      <c r="J843" s="16"/>
      <c r="K843" s="16"/>
      <c r="L843" s="14"/>
      <c r="M843" s="16"/>
      <c r="N843" s="14"/>
      <c r="O843" s="6"/>
      <c r="P843" s="6"/>
      <c r="Q843" s="6"/>
    </row>
    <row r="844" spans="1:17" ht="12.75" customHeight="1" x14ac:dyDescent="0.3">
      <c r="A844" s="6"/>
      <c r="B844" s="19">
        <v>841</v>
      </c>
      <c r="C844" s="14"/>
      <c r="D844" s="21">
        <f>NamaPelanggan!D844</f>
        <v>0</v>
      </c>
      <c r="E844" s="14"/>
      <c r="F844" s="16"/>
      <c r="G844" s="16"/>
      <c r="H844" s="16"/>
      <c r="I844" s="16"/>
      <c r="J844" s="16"/>
      <c r="K844" s="16"/>
      <c r="L844" s="14"/>
      <c r="M844" s="16"/>
      <c r="N844" s="14"/>
      <c r="O844" s="6"/>
      <c r="P844" s="6"/>
      <c r="Q844" s="6"/>
    </row>
    <row r="845" spans="1:17" ht="12.75" customHeight="1" x14ac:dyDescent="0.3">
      <c r="A845" s="6"/>
      <c r="B845" s="19">
        <v>842</v>
      </c>
      <c r="C845" s="14"/>
      <c r="D845" s="21">
        <f>NamaPelanggan!D845</f>
        <v>0</v>
      </c>
      <c r="E845" s="14"/>
      <c r="F845" s="16"/>
      <c r="G845" s="16"/>
      <c r="H845" s="16"/>
      <c r="I845" s="16"/>
      <c r="J845" s="16"/>
      <c r="K845" s="16"/>
      <c r="L845" s="14"/>
      <c r="M845" s="16"/>
      <c r="N845" s="14"/>
      <c r="O845" s="6"/>
      <c r="P845" s="6"/>
      <c r="Q845" s="6"/>
    </row>
    <row r="846" spans="1:17" ht="12.75" customHeight="1" x14ac:dyDescent="0.3">
      <c r="A846" s="6"/>
      <c r="B846" s="19">
        <v>843</v>
      </c>
      <c r="C846" s="14"/>
      <c r="D846" s="21">
        <f>NamaPelanggan!D846</f>
        <v>0</v>
      </c>
      <c r="E846" s="14"/>
      <c r="F846" s="16"/>
      <c r="G846" s="16"/>
      <c r="H846" s="16"/>
      <c r="I846" s="16"/>
      <c r="J846" s="16"/>
      <c r="K846" s="16"/>
      <c r="L846" s="14"/>
      <c r="M846" s="16"/>
      <c r="N846" s="14"/>
      <c r="O846" s="6"/>
      <c r="P846" s="6"/>
      <c r="Q846" s="6"/>
    </row>
    <row r="847" spans="1:17" ht="12.75" customHeight="1" x14ac:dyDescent="0.3">
      <c r="A847" s="6"/>
      <c r="B847" s="19">
        <v>844</v>
      </c>
      <c r="C847" s="14"/>
      <c r="D847" s="21">
        <f>NamaPelanggan!D847</f>
        <v>0</v>
      </c>
      <c r="E847" s="14"/>
      <c r="F847" s="16"/>
      <c r="G847" s="16"/>
      <c r="H847" s="16"/>
      <c r="I847" s="16"/>
      <c r="J847" s="16"/>
      <c r="K847" s="16"/>
      <c r="L847" s="14"/>
      <c r="M847" s="16"/>
      <c r="N847" s="14"/>
      <c r="O847" s="6"/>
      <c r="P847" s="6"/>
      <c r="Q847" s="6"/>
    </row>
    <row r="848" spans="1:17" ht="12.75" customHeight="1" x14ac:dyDescent="0.3">
      <c r="A848" s="6"/>
      <c r="B848" s="19">
        <v>845</v>
      </c>
      <c r="C848" s="14"/>
      <c r="D848" s="21">
        <f>NamaPelanggan!D848</f>
        <v>0</v>
      </c>
      <c r="E848" s="14"/>
      <c r="F848" s="16"/>
      <c r="G848" s="16"/>
      <c r="H848" s="16"/>
      <c r="I848" s="16"/>
      <c r="J848" s="16"/>
      <c r="K848" s="16"/>
      <c r="L848" s="14"/>
      <c r="M848" s="16"/>
      <c r="N848" s="14"/>
      <c r="O848" s="6"/>
      <c r="P848" s="6"/>
      <c r="Q848" s="6"/>
    </row>
    <row r="849" spans="1:17" ht="12.75" customHeight="1" x14ac:dyDescent="0.3">
      <c r="A849" s="6"/>
      <c r="B849" s="19">
        <v>846</v>
      </c>
      <c r="C849" s="14"/>
      <c r="D849" s="21">
        <f>NamaPelanggan!D849</f>
        <v>0</v>
      </c>
      <c r="E849" s="14"/>
      <c r="F849" s="16"/>
      <c r="G849" s="16"/>
      <c r="H849" s="16"/>
      <c r="I849" s="16"/>
      <c r="J849" s="16"/>
      <c r="K849" s="16"/>
      <c r="L849" s="14"/>
      <c r="M849" s="16"/>
      <c r="N849" s="14"/>
      <c r="O849" s="6"/>
      <c r="P849" s="6"/>
      <c r="Q849" s="6"/>
    </row>
    <row r="850" spans="1:17" ht="12.75" customHeight="1" x14ac:dyDescent="0.3">
      <c r="A850" s="6"/>
      <c r="B850" s="19">
        <v>847</v>
      </c>
      <c r="C850" s="14"/>
      <c r="D850" s="21">
        <f>NamaPelanggan!D850</f>
        <v>0</v>
      </c>
      <c r="E850" s="14"/>
      <c r="F850" s="16"/>
      <c r="G850" s="16"/>
      <c r="H850" s="16"/>
      <c r="I850" s="16"/>
      <c r="J850" s="16"/>
      <c r="K850" s="16"/>
      <c r="L850" s="14"/>
      <c r="M850" s="16"/>
      <c r="N850" s="14"/>
      <c r="O850" s="6"/>
      <c r="P850" s="6"/>
      <c r="Q850" s="6"/>
    </row>
    <row r="851" spans="1:17" ht="12.75" customHeight="1" x14ac:dyDescent="0.3">
      <c r="A851" s="6"/>
      <c r="B851" s="19">
        <v>848</v>
      </c>
      <c r="C851" s="14"/>
      <c r="D851" s="21">
        <f>NamaPelanggan!D851</f>
        <v>0</v>
      </c>
      <c r="E851" s="14"/>
      <c r="F851" s="16"/>
      <c r="G851" s="16"/>
      <c r="H851" s="16"/>
      <c r="I851" s="16"/>
      <c r="J851" s="16"/>
      <c r="K851" s="16"/>
      <c r="L851" s="14"/>
      <c r="M851" s="16"/>
      <c r="N851" s="14"/>
      <c r="O851" s="6"/>
      <c r="P851" s="6"/>
      <c r="Q851" s="6"/>
    </row>
    <row r="852" spans="1:17" ht="12.75" customHeight="1" x14ac:dyDescent="0.3">
      <c r="A852" s="6"/>
      <c r="B852" s="19">
        <v>849</v>
      </c>
      <c r="C852" s="14"/>
      <c r="D852" s="21">
        <f>NamaPelanggan!D852</f>
        <v>0</v>
      </c>
      <c r="E852" s="14"/>
      <c r="F852" s="16"/>
      <c r="G852" s="16"/>
      <c r="H852" s="16"/>
      <c r="I852" s="16"/>
      <c r="J852" s="16"/>
      <c r="K852" s="16"/>
      <c r="L852" s="14"/>
      <c r="M852" s="16"/>
      <c r="N852" s="14"/>
      <c r="O852" s="6"/>
      <c r="P852" s="6"/>
      <c r="Q852" s="6"/>
    </row>
    <row r="853" spans="1:17" ht="12.75" customHeight="1" x14ac:dyDescent="0.3">
      <c r="A853" s="6"/>
      <c r="B853" s="19">
        <v>850</v>
      </c>
      <c r="C853" s="14"/>
      <c r="D853" s="21">
        <f>NamaPelanggan!D853</f>
        <v>0</v>
      </c>
      <c r="E853" s="14"/>
      <c r="F853" s="16"/>
      <c r="G853" s="16"/>
      <c r="H853" s="16"/>
      <c r="I853" s="16"/>
      <c r="J853" s="16"/>
      <c r="K853" s="16"/>
      <c r="L853" s="14"/>
      <c r="M853" s="16"/>
      <c r="N853" s="14"/>
      <c r="O853" s="6"/>
      <c r="P853" s="6"/>
      <c r="Q853" s="6"/>
    </row>
    <row r="854" spans="1:17" ht="12.75" customHeight="1" x14ac:dyDescent="0.3">
      <c r="A854" s="6"/>
      <c r="B854" s="19">
        <v>851</v>
      </c>
      <c r="C854" s="14"/>
      <c r="D854" s="21">
        <f>NamaPelanggan!D854</f>
        <v>0</v>
      </c>
      <c r="E854" s="14"/>
      <c r="F854" s="16"/>
      <c r="G854" s="16"/>
      <c r="H854" s="16"/>
      <c r="I854" s="16"/>
      <c r="J854" s="16"/>
      <c r="K854" s="16"/>
      <c r="L854" s="14"/>
      <c r="M854" s="16"/>
      <c r="N854" s="14"/>
      <c r="O854" s="6"/>
      <c r="P854" s="6"/>
      <c r="Q854" s="6"/>
    </row>
    <row r="855" spans="1:17" ht="12.75" customHeight="1" x14ac:dyDescent="0.3">
      <c r="A855" s="6"/>
      <c r="B855" s="19">
        <v>852</v>
      </c>
      <c r="C855" s="14"/>
      <c r="D855" s="21">
        <f>NamaPelanggan!D855</f>
        <v>0</v>
      </c>
      <c r="E855" s="14"/>
      <c r="F855" s="16"/>
      <c r="G855" s="16"/>
      <c r="H855" s="16"/>
      <c r="I855" s="16"/>
      <c r="J855" s="16"/>
      <c r="K855" s="16"/>
      <c r="L855" s="14"/>
      <c r="M855" s="16"/>
      <c r="N855" s="14"/>
      <c r="O855" s="6"/>
      <c r="P855" s="6"/>
      <c r="Q855" s="6"/>
    </row>
    <row r="856" spans="1:17" ht="12.75" customHeight="1" x14ac:dyDescent="0.3">
      <c r="A856" s="6"/>
      <c r="B856" s="19">
        <v>853</v>
      </c>
      <c r="C856" s="14"/>
      <c r="D856" s="21">
        <f>NamaPelanggan!D856</f>
        <v>0</v>
      </c>
      <c r="E856" s="14"/>
      <c r="F856" s="16"/>
      <c r="G856" s="16"/>
      <c r="H856" s="16"/>
      <c r="I856" s="16"/>
      <c r="J856" s="16"/>
      <c r="K856" s="16"/>
      <c r="L856" s="14"/>
      <c r="M856" s="16"/>
      <c r="N856" s="14"/>
      <c r="O856" s="6"/>
      <c r="P856" s="6"/>
      <c r="Q856" s="6"/>
    </row>
    <row r="857" spans="1:17" ht="12.75" customHeight="1" x14ac:dyDescent="0.3">
      <c r="A857" s="6"/>
      <c r="B857" s="19">
        <v>854</v>
      </c>
      <c r="C857" s="14"/>
      <c r="D857" s="21">
        <f>NamaPelanggan!D857</f>
        <v>0</v>
      </c>
      <c r="E857" s="14"/>
      <c r="F857" s="16"/>
      <c r="G857" s="16"/>
      <c r="H857" s="16"/>
      <c r="I857" s="16"/>
      <c r="J857" s="16"/>
      <c r="K857" s="16"/>
      <c r="L857" s="14"/>
      <c r="M857" s="16"/>
      <c r="N857" s="14"/>
      <c r="O857" s="6"/>
      <c r="P857" s="6"/>
      <c r="Q857" s="6"/>
    </row>
    <row r="858" spans="1:17" ht="12.75" customHeight="1" x14ac:dyDescent="0.3">
      <c r="A858" s="6"/>
      <c r="B858" s="19">
        <v>855</v>
      </c>
      <c r="C858" s="14"/>
      <c r="D858" s="21">
        <f>NamaPelanggan!D858</f>
        <v>0</v>
      </c>
      <c r="E858" s="14"/>
      <c r="F858" s="16"/>
      <c r="G858" s="16"/>
      <c r="H858" s="16"/>
      <c r="I858" s="16"/>
      <c r="J858" s="16"/>
      <c r="K858" s="16"/>
      <c r="L858" s="14"/>
      <c r="M858" s="16"/>
      <c r="N858" s="14"/>
      <c r="O858" s="6"/>
      <c r="P858" s="6"/>
      <c r="Q858" s="6"/>
    </row>
    <row r="859" spans="1:17" ht="12.75" customHeight="1" x14ac:dyDescent="0.3">
      <c r="A859" s="6"/>
      <c r="B859" s="19">
        <v>856</v>
      </c>
      <c r="C859" s="14"/>
      <c r="D859" s="21">
        <f>NamaPelanggan!D859</f>
        <v>0</v>
      </c>
      <c r="E859" s="14"/>
      <c r="F859" s="16"/>
      <c r="G859" s="16"/>
      <c r="H859" s="16"/>
      <c r="I859" s="16"/>
      <c r="J859" s="16"/>
      <c r="K859" s="16"/>
      <c r="L859" s="14"/>
      <c r="M859" s="16"/>
      <c r="N859" s="14"/>
      <c r="O859" s="6"/>
      <c r="P859" s="6"/>
      <c r="Q859" s="6"/>
    </row>
    <row r="860" spans="1:17" ht="12.75" customHeight="1" x14ac:dyDescent="0.3">
      <c r="A860" s="6"/>
      <c r="B860" s="19">
        <v>857</v>
      </c>
      <c r="C860" s="14"/>
      <c r="D860" s="21">
        <f>NamaPelanggan!D860</f>
        <v>0</v>
      </c>
      <c r="E860" s="14"/>
      <c r="F860" s="16"/>
      <c r="G860" s="16"/>
      <c r="H860" s="16"/>
      <c r="I860" s="16"/>
      <c r="J860" s="16"/>
      <c r="K860" s="16"/>
      <c r="L860" s="14"/>
      <c r="M860" s="16"/>
      <c r="N860" s="14"/>
      <c r="O860" s="6"/>
      <c r="P860" s="6"/>
      <c r="Q860" s="6"/>
    </row>
    <row r="861" spans="1:17" ht="12.75" customHeight="1" x14ac:dyDescent="0.3">
      <c r="A861" s="6"/>
      <c r="B861" s="19">
        <v>858</v>
      </c>
      <c r="C861" s="14"/>
      <c r="D861" s="21">
        <f>NamaPelanggan!D861</f>
        <v>0</v>
      </c>
      <c r="E861" s="14"/>
      <c r="F861" s="16"/>
      <c r="G861" s="16"/>
      <c r="H861" s="16"/>
      <c r="I861" s="16"/>
      <c r="J861" s="16"/>
      <c r="K861" s="16"/>
      <c r="L861" s="14"/>
      <c r="M861" s="16"/>
      <c r="N861" s="14"/>
      <c r="O861" s="6"/>
      <c r="P861" s="6"/>
      <c r="Q861" s="6"/>
    </row>
    <row r="862" spans="1:17" ht="12.75" customHeight="1" x14ac:dyDescent="0.3">
      <c r="A862" s="6"/>
      <c r="B862" s="19">
        <v>859</v>
      </c>
      <c r="C862" s="14"/>
      <c r="D862" s="21">
        <f>NamaPelanggan!D862</f>
        <v>0</v>
      </c>
      <c r="E862" s="14"/>
      <c r="F862" s="16"/>
      <c r="G862" s="16"/>
      <c r="H862" s="16"/>
      <c r="I862" s="16"/>
      <c r="J862" s="16"/>
      <c r="K862" s="16"/>
      <c r="L862" s="14"/>
      <c r="M862" s="16"/>
      <c r="N862" s="14"/>
      <c r="O862" s="6"/>
      <c r="P862" s="6"/>
      <c r="Q862" s="6"/>
    </row>
    <row r="863" spans="1:17" ht="12.75" customHeight="1" x14ac:dyDescent="0.3">
      <c r="A863" s="6"/>
      <c r="B863" s="19">
        <v>860</v>
      </c>
      <c r="C863" s="14"/>
      <c r="D863" s="21">
        <f>NamaPelanggan!D863</f>
        <v>0</v>
      </c>
      <c r="E863" s="14"/>
      <c r="F863" s="16"/>
      <c r="G863" s="16"/>
      <c r="H863" s="16"/>
      <c r="I863" s="16"/>
      <c r="J863" s="16"/>
      <c r="K863" s="16"/>
      <c r="L863" s="14"/>
      <c r="M863" s="16"/>
      <c r="N863" s="14"/>
      <c r="O863" s="6"/>
      <c r="P863" s="6"/>
      <c r="Q863" s="6"/>
    </row>
    <row r="864" spans="1:17" ht="12.75" customHeight="1" x14ac:dyDescent="0.3">
      <c r="A864" s="6"/>
      <c r="B864" s="19">
        <v>861</v>
      </c>
      <c r="C864" s="14"/>
      <c r="D864" s="21">
        <f>NamaPelanggan!D864</f>
        <v>0</v>
      </c>
      <c r="E864" s="14"/>
      <c r="F864" s="16"/>
      <c r="G864" s="16"/>
      <c r="H864" s="16"/>
      <c r="I864" s="16"/>
      <c r="J864" s="16"/>
      <c r="K864" s="16"/>
      <c r="L864" s="14"/>
      <c r="M864" s="16"/>
      <c r="N864" s="14"/>
      <c r="O864" s="6"/>
      <c r="P864" s="6"/>
      <c r="Q864" s="6"/>
    </row>
    <row r="865" spans="1:17" ht="12.75" customHeight="1" x14ac:dyDescent="0.3">
      <c r="A865" s="6"/>
      <c r="B865" s="19">
        <v>862</v>
      </c>
      <c r="C865" s="14"/>
      <c r="D865" s="21">
        <f>NamaPelanggan!D865</f>
        <v>0</v>
      </c>
      <c r="E865" s="14"/>
      <c r="F865" s="16"/>
      <c r="G865" s="16"/>
      <c r="H865" s="16"/>
      <c r="I865" s="16"/>
      <c r="J865" s="16"/>
      <c r="K865" s="16"/>
      <c r="L865" s="14"/>
      <c r="M865" s="16"/>
      <c r="N865" s="14"/>
      <c r="O865" s="6"/>
      <c r="P865" s="6"/>
      <c r="Q865" s="6"/>
    </row>
    <row r="866" spans="1:17" ht="12.75" customHeight="1" x14ac:dyDescent="0.3">
      <c r="A866" s="6"/>
      <c r="B866" s="19">
        <v>863</v>
      </c>
      <c r="C866" s="14"/>
      <c r="D866" s="21">
        <f>NamaPelanggan!D866</f>
        <v>0</v>
      </c>
      <c r="E866" s="14"/>
      <c r="F866" s="16"/>
      <c r="G866" s="16"/>
      <c r="H866" s="16"/>
      <c r="I866" s="16"/>
      <c r="J866" s="16"/>
      <c r="K866" s="16"/>
      <c r="L866" s="14"/>
      <c r="M866" s="16"/>
      <c r="N866" s="14"/>
      <c r="O866" s="6"/>
      <c r="P866" s="6"/>
      <c r="Q866" s="6"/>
    </row>
    <row r="867" spans="1:17" ht="12.75" customHeight="1" x14ac:dyDescent="0.3">
      <c r="A867" s="6"/>
      <c r="B867" s="19">
        <v>864</v>
      </c>
      <c r="C867" s="14"/>
      <c r="D867" s="21">
        <f>NamaPelanggan!D867</f>
        <v>0</v>
      </c>
      <c r="E867" s="14"/>
      <c r="F867" s="16"/>
      <c r="G867" s="16"/>
      <c r="H867" s="16"/>
      <c r="I867" s="16"/>
      <c r="J867" s="16"/>
      <c r="K867" s="16"/>
      <c r="L867" s="14"/>
      <c r="M867" s="16"/>
      <c r="N867" s="14"/>
      <c r="O867" s="6"/>
      <c r="P867" s="6"/>
      <c r="Q867" s="6"/>
    </row>
    <row r="868" spans="1:17" ht="12.75" customHeight="1" x14ac:dyDescent="0.3">
      <c r="A868" s="6"/>
      <c r="B868" s="19">
        <v>865</v>
      </c>
      <c r="C868" s="14"/>
      <c r="D868" s="21">
        <f>NamaPelanggan!D868</f>
        <v>0</v>
      </c>
      <c r="E868" s="14"/>
      <c r="F868" s="16"/>
      <c r="G868" s="16"/>
      <c r="H868" s="16"/>
      <c r="I868" s="16"/>
      <c r="J868" s="16"/>
      <c r="K868" s="16"/>
      <c r="L868" s="14"/>
      <c r="M868" s="16"/>
      <c r="N868" s="14"/>
      <c r="O868" s="6"/>
      <c r="P868" s="6"/>
      <c r="Q868" s="6"/>
    </row>
    <row r="869" spans="1:17" ht="12.75" customHeight="1" x14ac:dyDescent="0.3">
      <c r="A869" s="6"/>
      <c r="B869" s="19">
        <v>866</v>
      </c>
      <c r="C869" s="14"/>
      <c r="D869" s="21">
        <f>NamaPelanggan!D869</f>
        <v>0</v>
      </c>
      <c r="E869" s="14"/>
      <c r="F869" s="16"/>
      <c r="G869" s="16"/>
      <c r="H869" s="16"/>
      <c r="I869" s="16"/>
      <c r="J869" s="16"/>
      <c r="K869" s="16"/>
      <c r="L869" s="14"/>
      <c r="M869" s="16"/>
      <c r="N869" s="14"/>
      <c r="O869" s="6"/>
      <c r="P869" s="6"/>
      <c r="Q869" s="6"/>
    </row>
    <row r="870" spans="1:17" ht="12.75" customHeight="1" x14ac:dyDescent="0.3">
      <c r="A870" s="6"/>
      <c r="B870" s="19">
        <v>867</v>
      </c>
      <c r="C870" s="14"/>
      <c r="D870" s="21">
        <f>NamaPelanggan!D870</f>
        <v>0</v>
      </c>
      <c r="E870" s="14"/>
      <c r="F870" s="16"/>
      <c r="G870" s="16"/>
      <c r="H870" s="16"/>
      <c r="I870" s="16"/>
      <c r="J870" s="16"/>
      <c r="K870" s="16"/>
      <c r="L870" s="14"/>
      <c r="M870" s="16"/>
      <c r="N870" s="14"/>
      <c r="O870" s="6"/>
      <c r="P870" s="6"/>
      <c r="Q870" s="6"/>
    </row>
    <row r="871" spans="1:17" ht="12.75" customHeight="1" x14ac:dyDescent="0.3">
      <c r="A871" s="6"/>
      <c r="B871" s="19">
        <v>868</v>
      </c>
      <c r="C871" s="14"/>
      <c r="D871" s="21">
        <f>NamaPelanggan!D871</f>
        <v>0</v>
      </c>
      <c r="E871" s="14"/>
      <c r="F871" s="16"/>
      <c r="G871" s="16"/>
      <c r="H871" s="16"/>
      <c r="I871" s="16"/>
      <c r="J871" s="16"/>
      <c r="K871" s="16"/>
      <c r="L871" s="14"/>
      <c r="M871" s="16"/>
      <c r="N871" s="14"/>
      <c r="O871" s="6"/>
      <c r="P871" s="6"/>
      <c r="Q871" s="6"/>
    </row>
    <row r="872" spans="1:17" ht="12.75" customHeight="1" x14ac:dyDescent="0.3">
      <c r="A872" s="6"/>
      <c r="B872" s="19">
        <v>869</v>
      </c>
      <c r="C872" s="14"/>
      <c r="D872" s="21">
        <f>NamaPelanggan!D872</f>
        <v>0</v>
      </c>
      <c r="E872" s="14"/>
      <c r="F872" s="16"/>
      <c r="G872" s="16"/>
      <c r="H872" s="16"/>
      <c r="I872" s="16"/>
      <c r="J872" s="16"/>
      <c r="K872" s="16"/>
      <c r="L872" s="14"/>
      <c r="M872" s="16"/>
      <c r="N872" s="14"/>
      <c r="O872" s="6"/>
      <c r="P872" s="6"/>
      <c r="Q872" s="6"/>
    </row>
    <row r="873" spans="1:17" ht="12.75" customHeight="1" x14ac:dyDescent="0.3">
      <c r="A873" s="6"/>
      <c r="B873" s="19">
        <v>870</v>
      </c>
      <c r="C873" s="14"/>
      <c r="D873" s="21">
        <f>NamaPelanggan!D873</f>
        <v>0</v>
      </c>
      <c r="E873" s="14"/>
      <c r="F873" s="16"/>
      <c r="G873" s="16"/>
      <c r="H873" s="16"/>
      <c r="I873" s="16"/>
      <c r="J873" s="16"/>
      <c r="K873" s="16"/>
      <c r="L873" s="14"/>
      <c r="M873" s="16"/>
      <c r="N873" s="14"/>
      <c r="O873" s="6"/>
      <c r="P873" s="6"/>
      <c r="Q873" s="6"/>
    </row>
    <row r="874" spans="1:17" ht="12.75" customHeight="1" x14ac:dyDescent="0.3">
      <c r="A874" s="6"/>
      <c r="B874" s="19">
        <v>871</v>
      </c>
      <c r="C874" s="14"/>
      <c r="D874" s="21">
        <f>NamaPelanggan!D874</f>
        <v>0</v>
      </c>
      <c r="E874" s="14"/>
      <c r="F874" s="16"/>
      <c r="G874" s="16"/>
      <c r="H874" s="16"/>
      <c r="I874" s="16"/>
      <c r="J874" s="16"/>
      <c r="K874" s="16"/>
      <c r="L874" s="14"/>
      <c r="M874" s="16"/>
      <c r="N874" s="14"/>
      <c r="O874" s="6"/>
      <c r="P874" s="6"/>
      <c r="Q874" s="6"/>
    </row>
    <row r="875" spans="1:17" ht="12.75" customHeight="1" x14ac:dyDescent="0.3">
      <c r="A875" s="6"/>
      <c r="B875" s="19">
        <v>872</v>
      </c>
      <c r="C875" s="14"/>
      <c r="D875" s="21">
        <f>NamaPelanggan!D875</f>
        <v>0</v>
      </c>
      <c r="E875" s="14"/>
      <c r="F875" s="16"/>
      <c r="G875" s="16"/>
      <c r="H875" s="16"/>
      <c r="I875" s="16"/>
      <c r="J875" s="16"/>
      <c r="K875" s="16"/>
      <c r="L875" s="14"/>
      <c r="M875" s="16"/>
      <c r="N875" s="14"/>
      <c r="O875" s="6"/>
      <c r="P875" s="6"/>
      <c r="Q875" s="6"/>
    </row>
    <row r="876" spans="1:17" ht="12.75" customHeight="1" x14ac:dyDescent="0.3">
      <c r="A876" s="6"/>
      <c r="B876" s="19">
        <v>873</v>
      </c>
      <c r="C876" s="14"/>
      <c r="D876" s="21">
        <f>NamaPelanggan!D876</f>
        <v>0</v>
      </c>
      <c r="E876" s="14"/>
      <c r="F876" s="16"/>
      <c r="G876" s="16"/>
      <c r="H876" s="16"/>
      <c r="I876" s="16"/>
      <c r="J876" s="16"/>
      <c r="K876" s="16"/>
      <c r="L876" s="14"/>
      <c r="M876" s="16"/>
      <c r="N876" s="14"/>
      <c r="O876" s="6"/>
      <c r="P876" s="6"/>
      <c r="Q876" s="6"/>
    </row>
    <row r="877" spans="1:17" ht="12.75" customHeight="1" x14ac:dyDescent="0.3">
      <c r="A877" s="6"/>
      <c r="B877" s="19">
        <v>874</v>
      </c>
      <c r="C877" s="14"/>
      <c r="D877" s="21">
        <f>NamaPelanggan!D877</f>
        <v>0</v>
      </c>
      <c r="E877" s="14"/>
      <c r="F877" s="16"/>
      <c r="G877" s="16"/>
      <c r="H877" s="16"/>
      <c r="I877" s="16"/>
      <c r="J877" s="16"/>
      <c r="K877" s="16"/>
      <c r="L877" s="14"/>
      <c r="M877" s="16"/>
      <c r="N877" s="14"/>
      <c r="O877" s="6"/>
      <c r="P877" s="6"/>
      <c r="Q877" s="6"/>
    </row>
    <row r="878" spans="1:17" ht="12.75" customHeight="1" x14ac:dyDescent="0.3">
      <c r="A878" s="6"/>
      <c r="B878" s="19">
        <v>875</v>
      </c>
      <c r="C878" s="14"/>
      <c r="D878" s="21">
        <f>NamaPelanggan!D878</f>
        <v>0</v>
      </c>
      <c r="E878" s="14"/>
      <c r="F878" s="16"/>
      <c r="G878" s="16"/>
      <c r="H878" s="16"/>
      <c r="I878" s="16"/>
      <c r="J878" s="16"/>
      <c r="K878" s="16"/>
      <c r="L878" s="14"/>
      <c r="M878" s="16"/>
      <c r="N878" s="14"/>
      <c r="O878" s="6"/>
      <c r="P878" s="6"/>
      <c r="Q878" s="6"/>
    </row>
    <row r="879" spans="1:17" ht="12.75" customHeight="1" x14ac:dyDescent="0.3">
      <c r="A879" s="6"/>
      <c r="B879" s="19">
        <v>876</v>
      </c>
      <c r="C879" s="14"/>
      <c r="D879" s="21">
        <f>NamaPelanggan!D879</f>
        <v>0</v>
      </c>
      <c r="E879" s="14"/>
      <c r="F879" s="16"/>
      <c r="G879" s="16"/>
      <c r="H879" s="16"/>
      <c r="I879" s="16"/>
      <c r="J879" s="16"/>
      <c r="K879" s="16"/>
      <c r="L879" s="14"/>
      <c r="M879" s="16"/>
      <c r="N879" s="14"/>
      <c r="O879" s="6"/>
      <c r="P879" s="6"/>
      <c r="Q879" s="6"/>
    </row>
    <row r="880" spans="1:17" ht="12.75" customHeight="1" x14ac:dyDescent="0.3">
      <c r="A880" s="6"/>
      <c r="B880" s="19">
        <v>877</v>
      </c>
      <c r="C880" s="14"/>
      <c r="D880" s="21">
        <f>NamaPelanggan!D880</f>
        <v>0</v>
      </c>
      <c r="E880" s="14"/>
      <c r="F880" s="16"/>
      <c r="G880" s="16"/>
      <c r="H880" s="16"/>
      <c r="I880" s="16"/>
      <c r="J880" s="16"/>
      <c r="K880" s="16"/>
      <c r="L880" s="14"/>
      <c r="M880" s="16"/>
      <c r="N880" s="14"/>
      <c r="O880" s="6"/>
      <c r="P880" s="6"/>
      <c r="Q880" s="6"/>
    </row>
    <row r="881" spans="1:17" ht="12.75" customHeight="1" x14ac:dyDescent="0.3">
      <c r="A881" s="6"/>
      <c r="B881" s="19">
        <v>878</v>
      </c>
      <c r="C881" s="14"/>
      <c r="D881" s="21">
        <f>NamaPelanggan!D881</f>
        <v>0</v>
      </c>
      <c r="E881" s="14"/>
      <c r="F881" s="16"/>
      <c r="G881" s="16"/>
      <c r="H881" s="16"/>
      <c r="I881" s="16"/>
      <c r="J881" s="16"/>
      <c r="K881" s="16"/>
      <c r="L881" s="14"/>
      <c r="M881" s="16"/>
      <c r="N881" s="14"/>
      <c r="O881" s="6"/>
      <c r="P881" s="6"/>
      <c r="Q881" s="6"/>
    </row>
    <row r="882" spans="1:17" ht="12.75" customHeight="1" x14ac:dyDescent="0.3">
      <c r="A882" s="6"/>
      <c r="B882" s="19">
        <v>879</v>
      </c>
      <c r="C882" s="14"/>
      <c r="D882" s="21">
        <f>NamaPelanggan!D882</f>
        <v>0</v>
      </c>
      <c r="E882" s="14"/>
      <c r="F882" s="16"/>
      <c r="G882" s="16"/>
      <c r="H882" s="16"/>
      <c r="I882" s="16"/>
      <c r="J882" s="16"/>
      <c r="K882" s="16"/>
      <c r="L882" s="14"/>
      <c r="M882" s="16"/>
      <c r="N882" s="14"/>
      <c r="O882" s="6"/>
      <c r="P882" s="6"/>
      <c r="Q882" s="6"/>
    </row>
    <row r="883" spans="1:17" ht="12.75" customHeight="1" x14ac:dyDescent="0.3">
      <c r="A883" s="6"/>
      <c r="B883" s="19">
        <v>880</v>
      </c>
      <c r="C883" s="14"/>
      <c r="D883" s="21">
        <f>NamaPelanggan!D883</f>
        <v>0</v>
      </c>
      <c r="E883" s="14"/>
      <c r="F883" s="16"/>
      <c r="G883" s="16"/>
      <c r="H883" s="16"/>
      <c r="I883" s="16"/>
      <c r="J883" s="16"/>
      <c r="K883" s="16"/>
      <c r="L883" s="14"/>
      <c r="M883" s="16"/>
      <c r="N883" s="14"/>
      <c r="O883" s="6"/>
      <c r="P883" s="6"/>
      <c r="Q883" s="6"/>
    </row>
    <row r="884" spans="1:17" ht="12.75" customHeight="1" x14ac:dyDescent="0.3">
      <c r="A884" s="6"/>
      <c r="B884" s="19">
        <v>881</v>
      </c>
      <c r="C884" s="14"/>
      <c r="D884" s="21">
        <f>NamaPelanggan!D884</f>
        <v>0</v>
      </c>
      <c r="E884" s="14"/>
      <c r="F884" s="16"/>
      <c r="G884" s="16"/>
      <c r="H884" s="16"/>
      <c r="I884" s="16"/>
      <c r="J884" s="16"/>
      <c r="K884" s="16"/>
      <c r="L884" s="14"/>
      <c r="M884" s="16"/>
      <c r="N884" s="14"/>
      <c r="O884" s="6"/>
      <c r="P884" s="6"/>
      <c r="Q884" s="6"/>
    </row>
    <row r="885" spans="1:17" ht="12.75" customHeight="1" x14ac:dyDescent="0.3">
      <c r="A885" s="6"/>
      <c r="B885" s="19">
        <v>882</v>
      </c>
      <c r="C885" s="14"/>
      <c r="D885" s="21">
        <f>NamaPelanggan!D885</f>
        <v>0</v>
      </c>
      <c r="E885" s="14"/>
      <c r="F885" s="16"/>
      <c r="G885" s="16"/>
      <c r="H885" s="16"/>
      <c r="I885" s="16"/>
      <c r="J885" s="16"/>
      <c r="K885" s="16"/>
      <c r="L885" s="14"/>
      <c r="M885" s="16"/>
      <c r="N885" s="14"/>
      <c r="O885" s="6"/>
      <c r="P885" s="6"/>
      <c r="Q885" s="6"/>
    </row>
    <row r="886" spans="1:17" ht="12.75" customHeight="1" x14ac:dyDescent="0.3">
      <c r="A886" s="6"/>
      <c r="B886" s="19">
        <v>883</v>
      </c>
      <c r="C886" s="14"/>
      <c r="D886" s="21">
        <f>NamaPelanggan!D886</f>
        <v>0</v>
      </c>
      <c r="E886" s="14"/>
      <c r="F886" s="16"/>
      <c r="G886" s="16"/>
      <c r="H886" s="16"/>
      <c r="I886" s="16"/>
      <c r="J886" s="16"/>
      <c r="K886" s="16"/>
      <c r="L886" s="14"/>
      <c r="M886" s="16"/>
      <c r="N886" s="14"/>
      <c r="O886" s="6"/>
      <c r="P886" s="6"/>
      <c r="Q886" s="6"/>
    </row>
    <row r="887" spans="1:17" ht="12.75" customHeight="1" x14ac:dyDescent="0.3">
      <c r="A887" s="6"/>
      <c r="B887" s="19">
        <v>884</v>
      </c>
      <c r="C887" s="14"/>
      <c r="D887" s="21">
        <f>NamaPelanggan!D887</f>
        <v>0</v>
      </c>
      <c r="E887" s="14"/>
      <c r="F887" s="16"/>
      <c r="G887" s="16"/>
      <c r="H887" s="16"/>
      <c r="I887" s="16"/>
      <c r="J887" s="16"/>
      <c r="K887" s="16"/>
      <c r="L887" s="14"/>
      <c r="M887" s="16"/>
      <c r="N887" s="14"/>
      <c r="O887" s="6"/>
      <c r="P887" s="6"/>
      <c r="Q887" s="6"/>
    </row>
    <row r="888" spans="1:17" ht="12.75" customHeight="1" x14ac:dyDescent="0.3">
      <c r="A888" s="6"/>
      <c r="B888" s="19">
        <v>885</v>
      </c>
      <c r="C888" s="14"/>
      <c r="D888" s="21">
        <f>NamaPelanggan!D888</f>
        <v>0</v>
      </c>
      <c r="E888" s="14"/>
      <c r="F888" s="16"/>
      <c r="G888" s="16"/>
      <c r="H888" s="16"/>
      <c r="I888" s="16"/>
      <c r="J888" s="16"/>
      <c r="K888" s="16"/>
      <c r="L888" s="14"/>
      <c r="M888" s="16"/>
      <c r="N888" s="14"/>
      <c r="O888" s="6"/>
      <c r="P888" s="6"/>
      <c r="Q888" s="6"/>
    </row>
    <row r="889" spans="1:17" ht="12.75" customHeight="1" x14ac:dyDescent="0.3">
      <c r="A889" s="6"/>
      <c r="B889" s="19">
        <v>886</v>
      </c>
      <c r="C889" s="14"/>
      <c r="D889" s="21">
        <f>NamaPelanggan!D889</f>
        <v>0</v>
      </c>
      <c r="E889" s="14"/>
      <c r="F889" s="16"/>
      <c r="G889" s="16"/>
      <c r="H889" s="16"/>
      <c r="I889" s="16"/>
      <c r="J889" s="16"/>
      <c r="K889" s="16"/>
      <c r="L889" s="14"/>
      <c r="M889" s="16"/>
      <c r="N889" s="14"/>
      <c r="O889" s="6"/>
      <c r="P889" s="6"/>
      <c r="Q889" s="6"/>
    </row>
    <row r="890" spans="1:17" ht="12.75" customHeight="1" x14ac:dyDescent="0.3">
      <c r="A890" s="6"/>
      <c r="B890" s="19">
        <v>887</v>
      </c>
      <c r="C890" s="14"/>
      <c r="D890" s="21">
        <f>NamaPelanggan!D890</f>
        <v>0</v>
      </c>
      <c r="E890" s="14"/>
      <c r="F890" s="16"/>
      <c r="G890" s="16"/>
      <c r="H890" s="16"/>
      <c r="I890" s="16"/>
      <c r="J890" s="16"/>
      <c r="K890" s="16"/>
      <c r="L890" s="14"/>
      <c r="M890" s="16"/>
      <c r="N890" s="14"/>
      <c r="O890" s="6"/>
      <c r="P890" s="6"/>
      <c r="Q890" s="6"/>
    </row>
    <row r="891" spans="1:17" ht="12.75" customHeight="1" x14ac:dyDescent="0.3">
      <c r="A891" s="6"/>
      <c r="B891" s="19">
        <v>888</v>
      </c>
      <c r="C891" s="14"/>
      <c r="D891" s="21">
        <f>NamaPelanggan!D891</f>
        <v>0</v>
      </c>
      <c r="E891" s="14"/>
      <c r="F891" s="16"/>
      <c r="G891" s="16"/>
      <c r="H891" s="16"/>
      <c r="I891" s="16"/>
      <c r="J891" s="16"/>
      <c r="K891" s="16"/>
      <c r="L891" s="14"/>
      <c r="M891" s="16"/>
      <c r="N891" s="14"/>
      <c r="O891" s="6"/>
      <c r="P891" s="6"/>
      <c r="Q891" s="6"/>
    </row>
    <row r="892" spans="1:17" ht="12.75" customHeight="1" x14ac:dyDescent="0.3">
      <c r="A892" s="6"/>
      <c r="B892" s="19">
        <v>889</v>
      </c>
      <c r="C892" s="14"/>
      <c r="D892" s="21">
        <f>NamaPelanggan!D892</f>
        <v>0</v>
      </c>
      <c r="E892" s="14"/>
      <c r="F892" s="16"/>
      <c r="G892" s="16"/>
      <c r="H892" s="16"/>
      <c r="I892" s="16"/>
      <c r="J892" s="16"/>
      <c r="K892" s="16"/>
      <c r="L892" s="14"/>
      <c r="M892" s="16"/>
      <c r="N892" s="14"/>
      <c r="O892" s="6"/>
      <c r="P892" s="6"/>
      <c r="Q892" s="6"/>
    </row>
    <row r="893" spans="1:17" ht="12.75" customHeight="1" x14ac:dyDescent="0.3">
      <c r="A893" s="6"/>
      <c r="B893" s="19">
        <v>890</v>
      </c>
      <c r="C893" s="14"/>
      <c r="D893" s="21">
        <f>NamaPelanggan!D893</f>
        <v>0</v>
      </c>
      <c r="E893" s="14"/>
      <c r="F893" s="16"/>
      <c r="G893" s="16"/>
      <c r="H893" s="16"/>
      <c r="I893" s="16"/>
      <c r="J893" s="16"/>
      <c r="K893" s="16"/>
      <c r="L893" s="14"/>
      <c r="M893" s="16"/>
      <c r="N893" s="14"/>
      <c r="O893" s="6"/>
      <c r="P893" s="6"/>
      <c r="Q893" s="6"/>
    </row>
    <row r="894" spans="1:17" ht="12.75" customHeight="1" x14ac:dyDescent="0.3">
      <c r="A894" s="6"/>
      <c r="B894" s="19">
        <v>891</v>
      </c>
      <c r="C894" s="14"/>
      <c r="D894" s="21">
        <f>NamaPelanggan!D894</f>
        <v>0</v>
      </c>
      <c r="E894" s="14"/>
      <c r="F894" s="16"/>
      <c r="G894" s="16"/>
      <c r="H894" s="16"/>
      <c r="I894" s="16"/>
      <c r="J894" s="16"/>
      <c r="K894" s="16"/>
      <c r="L894" s="14"/>
      <c r="M894" s="16"/>
      <c r="N894" s="14"/>
      <c r="O894" s="6"/>
      <c r="P894" s="6"/>
      <c r="Q894" s="6"/>
    </row>
    <row r="895" spans="1:17" ht="12.75" customHeight="1" x14ac:dyDescent="0.3">
      <c r="A895" s="6"/>
      <c r="B895" s="19">
        <v>892</v>
      </c>
      <c r="C895" s="14"/>
      <c r="D895" s="21">
        <f>NamaPelanggan!D895</f>
        <v>0</v>
      </c>
      <c r="E895" s="14"/>
      <c r="F895" s="16"/>
      <c r="G895" s="16"/>
      <c r="H895" s="16"/>
      <c r="I895" s="16"/>
      <c r="J895" s="16"/>
      <c r="K895" s="16"/>
      <c r="L895" s="14"/>
      <c r="M895" s="16"/>
      <c r="N895" s="14"/>
      <c r="O895" s="6"/>
      <c r="P895" s="6"/>
      <c r="Q895" s="6"/>
    </row>
    <row r="896" spans="1:17" ht="12.75" customHeight="1" x14ac:dyDescent="0.3">
      <c r="A896" s="6"/>
      <c r="B896" s="19">
        <v>893</v>
      </c>
      <c r="C896" s="14"/>
      <c r="D896" s="21">
        <f>NamaPelanggan!D896</f>
        <v>0</v>
      </c>
      <c r="E896" s="14"/>
      <c r="F896" s="16"/>
      <c r="G896" s="16"/>
      <c r="H896" s="16"/>
      <c r="I896" s="16"/>
      <c r="J896" s="16"/>
      <c r="K896" s="16"/>
      <c r="L896" s="14"/>
      <c r="M896" s="16"/>
      <c r="N896" s="14"/>
      <c r="O896" s="6"/>
      <c r="P896" s="6"/>
      <c r="Q896" s="6"/>
    </row>
    <row r="897" spans="1:17" ht="12.75" customHeight="1" x14ac:dyDescent="0.3">
      <c r="A897" s="6"/>
      <c r="B897" s="19">
        <v>894</v>
      </c>
      <c r="C897" s="14"/>
      <c r="D897" s="21">
        <f>NamaPelanggan!D897</f>
        <v>0</v>
      </c>
      <c r="E897" s="14"/>
      <c r="F897" s="16"/>
      <c r="G897" s="16"/>
      <c r="H897" s="16"/>
      <c r="I897" s="16"/>
      <c r="J897" s="16"/>
      <c r="K897" s="16"/>
      <c r="L897" s="14"/>
      <c r="M897" s="16"/>
      <c r="N897" s="14"/>
      <c r="O897" s="6"/>
      <c r="P897" s="6"/>
      <c r="Q897" s="6"/>
    </row>
    <row r="898" spans="1:17" ht="12.75" customHeight="1" x14ac:dyDescent="0.3">
      <c r="A898" s="6"/>
      <c r="B898" s="19">
        <v>895</v>
      </c>
      <c r="C898" s="14"/>
      <c r="D898" s="21">
        <f>NamaPelanggan!D898</f>
        <v>0</v>
      </c>
      <c r="E898" s="14"/>
      <c r="F898" s="16"/>
      <c r="G898" s="16"/>
      <c r="H898" s="16"/>
      <c r="I898" s="16"/>
      <c r="J898" s="16"/>
      <c r="K898" s="16"/>
      <c r="L898" s="14"/>
      <c r="M898" s="16"/>
      <c r="N898" s="14"/>
      <c r="O898" s="6"/>
      <c r="P898" s="6"/>
      <c r="Q898" s="6"/>
    </row>
    <row r="899" spans="1:17" ht="12.75" customHeight="1" x14ac:dyDescent="0.3">
      <c r="A899" s="6"/>
      <c r="B899" s="19">
        <v>896</v>
      </c>
      <c r="C899" s="14"/>
      <c r="D899" s="21">
        <f>NamaPelanggan!D899</f>
        <v>0</v>
      </c>
      <c r="E899" s="14"/>
      <c r="F899" s="16"/>
      <c r="G899" s="16"/>
      <c r="H899" s="16"/>
      <c r="I899" s="16"/>
      <c r="J899" s="16"/>
      <c r="K899" s="16"/>
      <c r="L899" s="14"/>
      <c r="M899" s="16"/>
      <c r="N899" s="14"/>
      <c r="O899" s="6"/>
      <c r="P899" s="6"/>
      <c r="Q899" s="6"/>
    </row>
    <row r="900" spans="1:17" ht="12.75" customHeight="1" x14ac:dyDescent="0.3">
      <c r="A900" s="6"/>
      <c r="B900" s="19">
        <v>897</v>
      </c>
      <c r="C900" s="14"/>
      <c r="D900" s="21">
        <f>NamaPelanggan!D900</f>
        <v>0</v>
      </c>
      <c r="E900" s="14"/>
      <c r="F900" s="16"/>
      <c r="G900" s="16"/>
      <c r="H900" s="16"/>
      <c r="I900" s="16"/>
      <c r="J900" s="16"/>
      <c r="K900" s="16"/>
      <c r="L900" s="14"/>
      <c r="M900" s="16"/>
      <c r="N900" s="14"/>
      <c r="O900" s="6"/>
      <c r="P900" s="6"/>
      <c r="Q900" s="6"/>
    </row>
    <row r="901" spans="1:17" ht="12.75" customHeight="1" x14ac:dyDescent="0.3">
      <c r="A901" s="6"/>
      <c r="B901" s="19">
        <v>898</v>
      </c>
      <c r="C901" s="14"/>
      <c r="D901" s="21">
        <f>NamaPelanggan!D901</f>
        <v>0</v>
      </c>
      <c r="E901" s="14"/>
      <c r="F901" s="16"/>
      <c r="G901" s="16"/>
      <c r="H901" s="16"/>
      <c r="I901" s="16"/>
      <c r="J901" s="16"/>
      <c r="K901" s="16"/>
      <c r="L901" s="14"/>
      <c r="M901" s="16"/>
      <c r="N901" s="14"/>
      <c r="O901" s="6"/>
      <c r="P901" s="6"/>
      <c r="Q901" s="6"/>
    </row>
    <row r="902" spans="1:17" ht="12.75" customHeight="1" x14ac:dyDescent="0.3">
      <c r="A902" s="6"/>
      <c r="B902" s="19">
        <v>899</v>
      </c>
      <c r="C902" s="14"/>
      <c r="D902" s="21">
        <f>NamaPelanggan!D902</f>
        <v>0</v>
      </c>
      <c r="E902" s="14"/>
      <c r="F902" s="16"/>
      <c r="G902" s="16"/>
      <c r="H902" s="16"/>
      <c r="I902" s="16"/>
      <c r="J902" s="16"/>
      <c r="K902" s="16"/>
      <c r="L902" s="14"/>
      <c r="M902" s="16"/>
      <c r="N902" s="14"/>
      <c r="O902" s="6"/>
      <c r="P902" s="6"/>
      <c r="Q902" s="6"/>
    </row>
    <row r="903" spans="1:17" ht="12.75" customHeight="1" x14ac:dyDescent="0.3">
      <c r="A903" s="6"/>
      <c r="B903" s="19">
        <v>900</v>
      </c>
      <c r="C903" s="14"/>
      <c r="D903" s="21">
        <f>NamaPelanggan!D903</f>
        <v>0</v>
      </c>
      <c r="E903" s="14"/>
      <c r="F903" s="16"/>
      <c r="G903" s="16"/>
      <c r="H903" s="16"/>
      <c r="I903" s="16"/>
      <c r="J903" s="16"/>
      <c r="K903" s="16"/>
      <c r="L903" s="14"/>
      <c r="M903" s="16"/>
      <c r="N903" s="14"/>
      <c r="O903" s="6"/>
      <c r="P903" s="6"/>
      <c r="Q903" s="6"/>
    </row>
    <row r="904" spans="1:17" ht="12.75" customHeight="1" x14ac:dyDescent="0.3">
      <c r="A904" s="6"/>
      <c r="B904" s="19">
        <v>901</v>
      </c>
      <c r="C904" s="14"/>
      <c r="D904" s="21">
        <f>NamaPelanggan!D904</f>
        <v>0</v>
      </c>
      <c r="E904" s="14"/>
      <c r="F904" s="16"/>
      <c r="G904" s="16"/>
      <c r="H904" s="16"/>
      <c r="I904" s="16"/>
      <c r="J904" s="16"/>
      <c r="K904" s="16"/>
      <c r="L904" s="14"/>
      <c r="M904" s="16"/>
      <c r="N904" s="14"/>
      <c r="O904" s="6"/>
      <c r="P904" s="6"/>
      <c r="Q904" s="6"/>
    </row>
    <row r="905" spans="1:17" ht="12.75" customHeight="1" x14ac:dyDescent="0.3">
      <c r="A905" s="6"/>
      <c r="B905" s="19">
        <v>902</v>
      </c>
      <c r="C905" s="14"/>
      <c r="D905" s="21">
        <f>NamaPelanggan!D905</f>
        <v>0</v>
      </c>
      <c r="E905" s="14"/>
      <c r="F905" s="16"/>
      <c r="G905" s="16"/>
      <c r="H905" s="16"/>
      <c r="I905" s="16"/>
      <c r="J905" s="16"/>
      <c r="K905" s="16"/>
      <c r="L905" s="14"/>
      <c r="M905" s="16"/>
      <c r="N905" s="14"/>
      <c r="O905" s="6"/>
      <c r="P905" s="6"/>
      <c r="Q905" s="6"/>
    </row>
    <row r="906" spans="1:17" ht="12.75" customHeight="1" x14ac:dyDescent="0.3">
      <c r="A906" s="6"/>
      <c r="B906" s="19">
        <v>903</v>
      </c>
      <c r="C906" s="14"/>
      <c r="D906" s="21">
        <f>NamaPelanggan!D906</f>
        <v>0</v>
      </c>
      <c r="E906" s="14"/>
      <c r="F906" s="16"/>
      <c r="G906" s="16"/>
      <c r="H906" s="16"/>
      <c r="I906" s="16"/>
      <c r="J906" s="16"/>
      <c r="K906" s="16"/>
      <c r="L906" s="14"/>
      <c r="M906" s="16"/>
      <c r="N906" s="14"/>
      <c r="O906" s="6"/>
      <c r="P906" s="6"/>
      <c r="Q906" s="6"/>
    </row>
    <row r="907" spans="1:17" ht="12.75" customHeight="1" x14ac:dyDescent="0.3">
      <c r="A907" s="6"/>
      <c r="B907" s="19">
        <v>904</v>
      </c>
      <c r="C907" s="14"/>
      <c r="D907" s="21">
        <f>NamaPelanggan!D907</f>
        <v>0</v>
      </c>
      <c r="E907" s="14"/>
      <c r="F907" s="16"/>
      <c r="G907" s="16"/>
      <c r="H907" s="16"/>
      <c r="I907" s="16"/>
      <c r="J907" s="16"/>
      <c r="K907" s="16"/>
      <c r="L907" s="14"/>
      <c r="M907" s="16"/>
      <c r="N907" s="14"/>
      <c r="O907" s="6"/>
      <c r="P907" s="6"/>
      <c r="Q907" s="6"/>
    </row>
    <row r="908" spans="1:17" ht="12.75" customHeight="1" x14ac:dyDescent="0.3">
      <c r="A908" s="6"/>
      <c r="B908" s="19">
        <v>905</v>
      </c>
      <c r="C908" s="14"/>
      <c r="D908" s="21">
        <f>NamaPelanggan!D908</f>
        <v>0</v>
      </c>
      <c r="E908" s="14"/>
      <c r="F908" s="16"/>
      <c r="G908" s="16"/>
      <c r="H908" s="16"/>
      <c r="I908" s="16"/>
      <c r="J908" s="16"/>
      <c r="K908" s="16"/>
      <c r="L908" s="14"/>
      <c r="M908" s="16"/>
      <c r="N908" s="14"/>
      <c r="O908" s="6"/>
      <c r="P908" s="6"/>
      <c r="Q908" s="6"/>
    </row>
    <row r="909" spans="1:17" ht="12.75" customHeight="1" x14ac:dyDescent="0.3">
      <c r="A909" s="6"/>
      <c r="B909" s="19">
        <v>906</v>
      </c>
      <c r="C909" s="14"/>
      <c r="D909" s="21">
        <f>NamaPelanggan!D909</f>
        <v>0</v>
      </c>
      <c r="E909" s="14"/>
      <c r="F909" s="16"/>
      <c r="G909" s="16"/>
      <c r="H909" s="16"/>
      <c r="I909" s="16"/>
      <c r="J909" s="16"/>
      <c r="K909" s="16"/>
      <c r="L909" s="14"/>
      <c r="M909" s="16"/>
      <c r="N909" s="14"/>
      <c r="O909" s="6"/>
      <c r="P909" s="6"/>
      <c r="Q909" s="6"/>
    </row>
    <row r="910" spans="1:17" ht="12.75" customHeight="1" x14ac:dyDescent="0.3">
      <c r="A910" s="6"/>
      <c r="B910" s="19">
        <v>907</v>
      </c>
      <c r="C910" s="14"/>
      <c r="D910" s="21">
        <f>NamaPelanggan!D910</f>
        <v>0</v>
      </c>
      <c r="E910" s="14"/>
      <c r="F910" s="16"/>
      <c r="G910" s="16"/>
      <c r="H910" s="16"/>
      <c r="I910" s="16"/>
      <c r="J910" s="16"/>
      <c r="K910" s="16"/>
      <c r="L910" s="14"/>
      <c r="M910" s="16"/>
      <c r="N910" s="14"/>
      <c r="O910" s="6"/>
      <c r="P910" s="6"/>
      <c r="Q910" s="6"/>
    </row>
    <row r="911" spans="1:17" ht="12.75" customHeight="1" x14ac:dyDescent="0.3">
      <c r="A911" s="6"/>
      <c r="B911" s="19">
        <v>908</v>
      </c>
      <c r="C911" s="14"/>
      <c r="D911" s="21">
        <f>NamaPelanggan!D911</f>
        <v>0</v>
      </c>
      <c r="E911" s="14"/>
      <c r="F911" s="16"/>
      <c r="G911" s="16"/>
      <c r="H911" s="16"/>
      <c r="I911" s="16"/>
      <c r="J911" s="16"/>
      <c r="K911" s="16"/>
      <c r="L911" s="14"/>
      <c r="M911" s="16"/>
      <c r="N911" s="14"/>
      <c r="O911" s="6"/>
      <c r="P911" s="6"/>
      <c r="Q911" s="6"/>
    </row>
    <row r="912" spans="1:17" ht="12.75" customHeight="1" x14ac:dyDescent="0.3">
      <c r="A912" s="6"/>
      <c r="B912" s="19">
        <v>909</v>
      </c>
      <c r="C912" s="14"/>
      <c r="D912" s="21">
        <f>NamaPelanggan!D912</f>
        <v>0</v>
      </c>
      <c r="E912" s="14"/>
      <c r="F912" s="16"/>
      <c r="G912" s="16"/>
      <c r="H912" s="16"/>
      <c r="I912" s="16"/>
      <c r="J912" s="16"/>
      <c r="K912" s="16"/>
      <c r="L912" s="14"/>
      <c r="M912" s="16"/>
      <c r="N912" s="14"/>
      <c r="O912" s="6"/>
      <c r="P912" s="6"/>
      <c r="Q912" s="6"/>
    </row>
    <row r="913" spans="1:17" ht="12.75" customHeight="1" x14ac:dyDescent="0.3">
      <c r="A913" s="6"/>
      <c r="B913" s="19">
        <v>910</v>
      </c>
      <c r="C913" s="14"/>
      <c r="D913" s="21">
        <f>NamaPelanggan!D913</f>
        <v>0</v>
      </c>
      <c r="E913" s="14"/>
      <c r="F913" s="16"/>
      <c r="G913" s="16"/>
      <c r="H913" s="16"/>
      <c r="I913" s="16"/>
      <c r="J913" s="16"/>
      <c r="K913" s="16"/>
      <c r="L913" s="14"/>
      <c r="M913" s="16"/>
      <c r="N913" s="14"/>
      <c r="O913" s="6"/>
      <c r="P913" s="6"/>
      <c r="Q913" s="6"/>
    </row>
    <row r="914" spans="1:17" ht="12.75" customHeight="1" x14ac:dyDescent="0.3">
      <c r="A914" s="6"/>
      <c r="B914" s="19">
        <v>911</v>
      </c>
      <c r="C914" s="14"/>
      <c r="D914" s="21">
        <f>NamaPelanggan!D914</f>
        <v>0</v>
      </c>
      <c r="E914" s="14"/>
      <c r="F914" s="16"/>
      <c r="G914" s="16"/>
      <c r="H914" s="16"/>
      <c r="I914" s="16"/>
      <c r="J914" s="16"/>
      <c r="K914" s="16"/>
      <c r="L914" s="14"/>
      <c r="M914" s="16"/>
      <c r="N914" s="14"/>
      <c r="O914" s="6"/>
      <c r="P914" s="6"/>
      <c r="Q914" s="6"/>
    </row>
    <row r="915" spans="1:17" ht="12.75" customHeight="1" x14ac:dyDescent="0.3">
      <c r="A915" s="6"/>
      <c r="B915" s="19">
        <v>912</v>
      </c>
      <c r="C915" s="14"/>
      <c r="D915" s="21">
        <f>NamaPelanggan!D915</f>
        <v>0</v>
      </c>
      <c r="E915" s="14"/>
      <c r="F915" s="16"/>
      <c r="G915" s="16"/>
      <c r="H915" s="16"/>
      <c r="I915" s="16"/>
      <c r="J915" s="16"/>
      <c r="K915" s="16"/>
      <c r="L915" s="14"/>
      <c r="M915" s="16"/>
      <c r="N915" s="14"/>
      <c r="O915" s="6"/>
      <c r="P915" s="6"/>
      <c r="Q915" s="6"/>
    </row>
    <row r="916" spans="1:17" ht="12.75" customHeight="1" x14ac:dyDescent="0.3">
      <c r="A916" s="6"/>
      <c r="B916" s="19">
        <v>913</v>
      </c>
      <c r="C916" s="14"/>
      <c r="D916" s="21">
        <f>NamaPelanggan!D916</f>
        <v>0</v>
      </c>
      <c r="E916" s="14"/>
      <c r="F916" s="16"/>
      <c r="G916" s="16"/>
      <c r="H916" s="16"/>
      <c r="I916" s="16"/>
      <c r="J916" s="16"/>
      <c r="K916" s="16"/>
      <c r="L916" s="14"/>
      <c r="M916" s="16"/>
      <c r="N916" s="14"/>
      <c r="O916" s="6"/>
      <c r="P916" s="6"/>
      <c r="Q916" s="6"/>
    </row>
    <row r="917" spans="1:17" ht="12.75" customHeight="1" x14ac:dyDescent="0.3">
      <c r="A917" s="6"/>
      <c r="B917" s="19">
        <v>914</v>
      </c>
      <c r="C917" s="14"/>
      <c r="D917" s="21">
        <f>NamaPelanggan!D917</f>
        <v>0</v>
      </c>
      <c r="E917" s="14"/>
      <c r="F917" s="16"/>
      <c r="G917" s="16"/>
      <c r="H917" s="16"/>
      <c r="I917" s="16"/>
      <c r="J917" s="16"/>
      <c r="K917" s="16"/>
      <c r="L917" s="14"/>
      <c r="M917" s="16"/>
      <c r="N917" s="14"/>
      <c r="O917" s="6"/>
      <c r="P917" s="6"/>
      <c r="Q917" s="6"/>
    </row>
    <row r="918" spans="1:17" ht="12.75" customHeight="1" x14ac:dyDescent="0.3">
      <c r="A918" s="6"/>
      <c r="B918" s="19">
        <v>915</v>
      </c>
      <c r="C918" s="14"/>
      <c r="D918" s="21">
        <f>NamaPelanggan!D918</f>
        <v>0</v>
      </c>
      <c r="E918" s="14"/>
      <c r="F918" s="16"/>
      <c r="G918" s="16"/>
      <c r="H918" s="16"/>
      <c r="I918" s="16"/>
      <c r="J918" s="16"/>
      <c r="K918" s="16"/>
      <c r="L918" s="14"/>
      <c r="M918" s="16"/>
      <c r="N918" s="14"/>
      <c r="O918" s="6"/>
      <c r="P918" s="6"/>
      <c r="Q918" s="6"/>
    </row>
    <row r="919" spans="1:17" ht="12.75" customHeight="1" x14ac:dyDescent="0.3">
      <c r="A919" s="6"/>
      <c r="B919" s="19">
        <v>916</v>
      </c>
      <c r="C919" s="14"/>
      <c r="D919" s="21">
        <f>NamaPelanggan!D919</f>
        <v>0</v>
      </c>
      <c r="E919" s="14"/>
      <c r="F919" s="16"/>
      <c r="G919" s="16"/>
      <c r="H919" s="16"/>
      <c r="I919" s="16"/>
      <c r="J919" s="16"/>
      <c r="K919" s="16"/>
      <c r="L919" s="14"/>
      <c r="M919" s="16"/>
      <c r="N919" s="14"/>
      <c r="O919" s="6"/>
      <c r="P919" s="6"/>
      <c r="Q919" s="6"/>
    </row>
    <row r="920" spans="1:17" ht="12.75" customHeight="1" x14ac:dyDescent="0.3">
      <c r="A920" s="6"/>
      <c r="B920" s="19">
        <v>917</v>
      </c>
      <c r="C920" s="14"/>
      <c r="D920" s="21">
        <f>NamaPelanggan!D920</f>
        <v>0</v>
      </c>
      <c r="E920" s="14"/>
      <c r="F920" s="16"/>
      <c r="G920" s="16"/>
      <c r="H920" s="16"/>
      <c r="I920" s="16"/>
      <c r="J920" s="16"/>
      <c r="K920" s="16"/>
      <c r="L920" s="14"/>
      <c r="M920" s="16"/>
      <c r="N920" s="14"/>
      <c r="O920" s="6"/>
      <c r="P920" s="6"/>
      <c r="Q920" s="6"/>
    </row>
    <row r="921" spans="1:17" ht="12.75" customHeight="1" x14ac:dyDescent="0.3">
      <c r="A921" s="6"/>
      <c r="B921" s="19">
        <v>918</v>
      </c>
      <c r="C921" s="14"/>
      <c r="D921" s="21">
        <f>NamaPelanggan!D921</f>
        <v>0</v>
      </c>
      <c r="E921" s="14"/>
      <c r="F921" s="16"/>
      <c r="G921" s="16"/>
      <c r="H921" s="16"/>
      <c r="I921" s="16"/>
      <c r="J921" s="16"/>
      <c r="K921" s="16"/>
      <c r="L921" s="14"/>
      <c r="M921" s="16"/>
      <c r="N921" s="14"/>
      <c r="O921" s="6"/>
      <c r="P921" s="6"/>
      <c r="Q921" s="6"/>
    </row>
    <row r="922" spans="1:17" ht="12.75" customHeight="1" x14ac:dyDescent="0.3">
      <c r="A922" s="6"/>
      <c r="B922" s="19">
        <v>919</v>
      </c>
      <c r="C922" s="14"/>
      <c r="D922" s="21">
        <f>NamaPelanggan!D922</f>
        <v>0</v>
      </c>
      <c r="E922" s="14"/>
      <c r="F922" s="16"/>
      <c r="G922" s="16"/>
      <c r="H922" s="16"/>
      <c r="I922" s="16"/>
      <c r="J922" s="16"/>
      <c r="K922" s="16"/>
      <c r="L922" s="14"/>
      <c r="M922" s="16"/>
      <c r="N922" s="14"/>
      <c r="O922" s="6"/>
      <c r="P922" s="6"/>
      <c r="Q922" s="6"/>
    </row>
    <row r="923" spans="1:17" ht="12.75" customHeight="1" x14ac:dyDescent="0.3">
      <c r="A923" s="6"/>
      <c r="B923" s="19">
        <v>920</v>
      </c>
      <c r="C923" s="14"/>
      <c r="D923" s="21">
        <f>NamaPelanggan!D923</f>
        <v>0</v>
      </c>
      <c r="E923" s="14"/>
      <c r="F923" s="16"/>
      <c r="G923" s="16"/>
      <c r="H923" s="16"/>
      <c r="I923" s="16"/>
      <c r="J923" s="16"/>
      <c r="K923" s="16"/>
      <c r="L923" s="14"/>
      <c r="M923" s="16"/>
      <c r="N923" s="14"/>
      <c r="O923" s="6"/>
      <c r="P923" s="6"/>
      <c r="Q923" s="6"/>
    </row>
    <row r="924" spans="1:17" ht="12.75" customHeight="1" x14ac:dyDescent="0.3">
      <c r="A924" s="6"/>
      <c r="B924" s="19">
        <v>921</v>
      </c>
      <c r="C924" s="14"/>
      <c r="D924" s="21">
        <f>NamaPelanggan!D924</f>
        <v>0</v>
      </c>
      <c r="E924" s="14"/>
      <c r="F924" s="16"/>
      <c r="G924" s="16"/>
      <c r="H924" s="16"/>
      <c r="I924" s="16"/>
      <c r="J924" s="16"/>
      <c r="K924" s="16"/>
      <c r="L924" s="14"/>
      <c r="M924" s="16"/>
      <c r="N924" s="14"/>
      <c r="O924" s="6"/>
      <c r="P924" s="6"/>
      <c r="Q924" s="6"/>
    </row>
    <row r="925" spans="1:17" ht="12.75" customHeight="1" x14ac:dyDescent="0.3">
      <c r="A925" s="6"/>
      <c r="B925" s="19">
        <v>922</v>
      </c>
      <c r="C925" s="14"/>
      <c r="D925" s="21">
        <f>NamaPelanggan!D925</f>
        <v>0</v>
      </c>
      <c r="E925" s="14"/>
      <c r="F925" s="16"/>
      <c r="G925" s="16"/>
      <c r="H925" s="16"/>
      <c r="I925" s="16"/>
      <c r="J925" s="16"/>
      <c r="K925" s="16"/>
      <c r="L925" s="14"/>
      <c r="M925" s="16"/>
      <c r="N925" s="14"/>
      <c r="O925" s="6"/>
      <c r="P925" s="6"/>
      <c r="Q925" s="6"/>
    </row>
    <row r="926" spans="1:17" ht="12.75" customHeight="1" x14ac:dyDescent="0.3">
      <c r="A926" s="6"/>
      <c r="B926" s="19">
        <v>923</v>
      </c>
      <c r="C926" s="14"/>
      <c r="D926" s="21">
        <f>NamaPelanggan!D926</f>
        <v>0</v>
      </c>
      <c r="E926" s="14"/>
      <c r="F926" s="16"/>
      <c r="G926" s="16"/>
      <c r="H926" s="16"/>
      <c r="I926" s="16"/>
      <c r="J926" s="16"/>
      <c r="K926" s="16"/>
      <c r="L926" s="14"/>
      <c r="M926" s="16"/>
      <c r="N926" s="14"/>
      <c r="O926" s="6"/>
      <c r="P926" s="6"/>
      <c r="Q926" s="6"/>
    </row>
    <row r="927" spans="1:17" ht="12.75" customHeight="1" x14ac:dyDescent="0.3">
      <c r="A927" s="6"/>
      <c r="B927" s="19">
        <v>924</v>
      </c>
      <c r="C927" s="14"/>
      <c r="D927" s="21">
        <f>NamaPelanggan!D927</f>
        <v>0</v>
      </c>
      <c r="E927" s="14"/>
      <c r="F927" s="16"/>
      <c r="G927" s="16"/>
      <c r="H927" s="16"/>
      <c r="I927" s="16"/>
      <c r="J927" s="16"/>
      <c r="K927" s="16"/>
      <c r="L927" s="14"/>
      <c r="M927" s="16"/>
      <c r="N927" s="14"/>
      <c r="O927" s="6"/>
      <c r="P927" s="6"/>
      <c r="Q927" s="6"/>
    </row>
    <row r="928" spans="1:17" ht="12.75" customHeight="1" x14ac:dyDescent="0.3">
      <c r="A928" s="6"/>
      <c r="B928" s="19">
        <v>925</v>
      </c>
      <c r="C928" s="14"/>
      <c r="D928" s="21">
        <f>NamaPelanggan!D928</f>
        <v>0</v>
      </c>
      <c r="E928" s="14"/>
      <c r="F928" s="16"/>
      <c r="G928" s="16"/>
      <c r="H928" s="16"/>
      <c r="I928" s="16"/>
      <c r="J928" s="16"/>
      <c r="K928" s="16"/>
      <c r="L928" s="14"/>
      <c r="M928" s="16"/>
      <c r="N928" s="14"/>
      <c r="O928" s="6"/>
      <c r="P928" s="6"/>
      <c r="Q928" s="6"/>
    </row>
    <row r="929" spans="1:17" ht="12.75" customHeight="1" x14ac:dyDescent="0.3">
      <c r="A929" s="6"/>
      <c r="B929" s="19">
        <v>926</v>
      </c>
      <c r="C929" s="14"/>
      <c r="D929" s="21">
        <f>NamaPelanggan!D929</f>
        <v>0</v>
      </c>
      <c r="E929" s="14"/>
      <c r="F929" s="16"/>
      <c r="G929" s="16"/>
      <c r="H929" s="16"/>
      <c r="I929" s="16"/>
      <c r="J929" s="16"/>
      <c r="K929" s="16"/>
      <c r="L929" s="14"/>
      <c r="M929" s="16"/>
      <c r="N929" s="14"/>
      <c r="O929" s="6"/>
      <c r="P929" s="6"/>
      <c r="Q929" s="6"/>
    </row>
    <row r="930" spans="1:17" ht="12.75" customHeight="1" x14ac:dyDescent="0.3">
      <c r="A930" s="6"/>
      <c r="B930" s="19">
        <v>927</v>
      </c>
      <c r="C930" s="14"/>
      <c r="D930" s="21">
        <f>NamaPelanggan!D930</f>
        <v>0</v>
      </c>
      <c r="E930" s="14"/>
      <c r="F930" s="16"/>
      <c r="G930" s="16"/>
      <c r="H930" s="16"/>
      <c r="I930" s="16"/>
      <c r="J930" s="16"/>
      <c r="K930" s="16"/>
      <c r="L930" s="14"/>
      <c r="M930" s="16"/>
      <c r="N930" s="14"/>
      <c r="O930" s="6"/>
      <c r="P930" s="6"/>
      <c r="Q930" s="6"/>
    </row>
    <row r="931" spans="1:17" ht="12.75" customHeight="1" x14ac:dyDescent="0.3">
      <c r="A931" s="6"/>
      <c r="B931" s="19">
        <v>928</v>
      </c>
      <c r="C931" s="14"/>
      <c r="D931" s="21">
        <f>NamaPelanggan!D931</f>
        <v>0</v>
      </c>
      <c r="E931" s="14"/>
      <c r="F931" s="16"/>
      <c r="G931" s="16"/>
      <c r="H931" s="16"/>
      <c r="I931" s="16"/>
      <c r="J931" s="16"/>
      <c r="K931" s="16"/>
      <c r="L931" s="14"/>
      <c r="M931" s="16"/>
      <c r="N931" s="14"/>
      <c r="O931" s="6"/>
      <c r="P931" s="6"/>
      <c r="Q931" s="6"/>
    </row>
    <row r="932" spans="1:17" ht="12.75" customHeight="1" x14ac:dyDescent="0.3">
      <c r="A932" s="6"/>
      <c r="B932" s="19">
        <v>929</v>
      </c>
      <c r="C932" s="14"/>
      <c r="D932" s="21">
        <f>NamaPelanggan!D932</f>
        <v>0</v>
      </c>
      <c r="E932" s="14"/>
      <c r="F932" s="16"/>
      <c r="G932" s="16"/>
      <c r="H932" s="16"/>
      <c r="I932" s="16"/>
      <c r="J932" s="16"/>
      <c r="K932" s="16"/>
      <c r="L932" s="14"/>
      <c r="M932" s="16"/>
      <c r="N932" s="14"/>
      <c r="O932" s="6"/>
      <c r="P932" s="6"/>
      <c r="Q932" s="6"/>
    </row>
    <row r="933" spans="1:17" ht="12.75" customHeight="1" x14ac:dyDescent="0.3">
      <c r="A933" s="6"/>
      <c r="B933" s="19">
        <v>930</v>
      </c>
      <c r="C933" s="14"/>
      <c r="D933" s="21">
        <f>NamaPelanggan!D933</f>
        <v>0</v>
      </c>
      <c r="E933" s="14"/>
      <c r="F933" s="16"/>
      <c r="G933" s="16"/>
      <c r="H933" s="16"/>
      <c r="I933" s="16"/>
      <c r="J933" s="16"/>
      <c r="K933" s="16"/>
      <c r="L933" s="14"/>
      <c r="M933" s="16"/>
      <c r="N933" s="14"/>
      <c r="O933" s="6"/>
      <c r="P933" s="6"/>
      <c r="Q933" s="6"/>
    </row>
    <row r="934" spans="1:17" ht="12.75" customHeight="1" x14ac:dyDescent="0.3">
      <c r="A934" s="6"/>
      <c r="B934" s="19">
        <v>931</v>
      </c>
      <c r="C934" s="14"/>
      <c r="D934" s="21">
        <f>NamaPelanggan!D934</f>
        <v>0</v>
      </c>
      <c r="E934" s="14"/>
      <c r="F934" s="16"/>
      <c r="G934" s="16"/>
      <c r="H934" s="16"/>
      <c r="I934" s="16"/>
      <c r="J934" s="16"/>
      <c r="K934" s="16"/>
      <c r="L934" s="14"/>
      <c r="M934" s="16"/>
      <c r="N934" s="14"/>
      <c r="O934" s="6"/>
      <c r="P934" s="6"/>
      <c r="Q934" s="6"/>
    </row>
    <row r="935" spans="1:17" ht="12.75" customHeight="1" x14ac:dyDescent="0.3">
      <c r="A935" s="6"/>
      <c r="B935" s="19">
        <v>932</v>
      </c>
      <c r="C935" s="14"/>
      <c r="D935" s="21">
        <f>NamaPelanggan!D935</f>
        <v>0</v>
      </c>
      <c r="E935" s="14"/>
      <c r="F935" s="16"/>
      <c r="G935" s="16"/>
      <c r="H935" s="16"/>
      <c r="I935" s="16"/>
      <c r="J935" s="16"/>
      <c r="K935" s="16"/>
      <c r="L935" s="14"/>
      <c r="M935" s="16"/>
      <c r="N935" s="14"/>
      <c r="O935" s="6"/>
      <c r="P935" s="6"/>
      <c r="Q935" s="6"/>
    </row>
    <row r="936" spans="1:17" ht="12.75" customHeight="1" x14ac:dyDescent="0.3">
      <c r="A936" s="6"/>
      <c r="B936" s="19">
        <v>933</v>
      </c>
      <c r="C936" s="14"/>
      <c r="D936" s="21">
        <f>NamaPelanggan!D936</f>
        <v>0</v>
      </c>
      <c r="E936" s="14"/>
      <c r="F936" s="16"/>
      <c r="G936" s="16"/>
      <c r="H936" s="16"/>
      <c r="I936" s="16"/>
      <c r="J936" s="16"/>
      <c r="K936" s="16"/>
      <c r="L936" s="14"/>
      <c r="M936" s="16"/>
      <c r="N936" s="14"/>
      <c r="O936" s="6"/>
      <c r="P936" s="6"/>
      <c r="Q936" s="6"/>
    </row>
    <row r="937" spans="1:17" ht="12.75" customHeight="1" x14ac:dyDescent="0.3">
      <c r="A937" s="6"/>
      <c r="B937" s="19">
        <v>934</v>
      </c>
      <c r="C937" s="14"/>
      <c r="D937" s="21">
        <f>NamaPelanggan!D937</f>
        <v>0</v>
      </c>
      <c r="E937" s="14"/>
      <c r="F937" s="16"/>
      <c r="G937" s="16"/>
      <c r="H937" s="16"/>
      <c r="I937" s="16"/>
      <c r="J937" s="16"/>
      <c r="K937" s="16"/>
      <c r="L937" s="14"/>
      <c r="M937" s="16"/>
      <c r="N937" s="14"/>
      <c r="O937" s="6"/>
      <c r="P937" s="6"/>
      <c r="Q937" s="6"/>
    </row>
    <row r="938" spans="1:17" ht="12.75" customHeight="1" x14ac:dyDescent="0.3">
      <c r="A938" s="6"/>
      <c r="B938" s="19">
        <v>935</v>
      </c>
      <c r="C938" s="14"/>
      <c r="D938" s="21">
        <f>NamaPelanggan!D938</f>
        <v>0</v>
      </c>
      <c r="E938" s="14"/>
      <c r="F938" s="16"/>
      <c r="G938" s="16"/>
      <c r="H938" s="16"/>
      <c r="I938" s="16"/>
      <c r="J938" s="16"/>
      <c r="K938" s="16"/>
      <c r="L938" s="14"/>
      <c r="M938" s="16"/>
      <c r="N938" s="14"/>
      <c r="O938" s="6"/>
      <c r="P938" s="6"/>
      <c r="Q938" s="6"/>
    </row>
    <row r="939" spans="1:17" ht="12.75" customHeight="1" x14ac:dyDescent="0.3">
      <c r="A939" s="6"/>
      <c r="B939" s="19">
        <v>936</v>
      </c>
      <c r="C939" s="14"/>
      <c r="D939" s="21">
        <f>NamaPelanggan!D939</f>
        <v>0</v>
      </c>
      <c r="E939" s="14"/>
      <c r="F939" s="16"/>
      <c r="G939" s="16"/>
      <c r="H939" s="16"/>
      <c r="I939" s="16"/>
      <c r="J939" s="16"/>
      <c r="K939" s="16"/>
      <c r="L939" s="14"/>
      <c r="M939" s="16"/>
      <c r="N939" s="14"/>
      <c r="O939" s="6"/>
      <c r="P939" s="6"/>
      <c r="Q939" s="6"/>
    </row>
    <row r="940" spans="1:17" ht="12.75" customHeight="1" x14ac:dyDescent="0.3">
      <c r="A940" s="6"/>
      <c r="B940" s="19">
        <v>937</v>
      </c>
      <c r="C940" s="14"/>
      <c r="D940" s="21">
        <f>NamaPelanggan!D940</f>
        <v>0</v>
      </c>
      <c r="E940" s="14"/>
      <c r="F940" s="16"/>
      <c r="G940" s="16"/>
      <c r="H940" s="16"/>
      <c r="I940" s="16"/>
      <c r="J940" s="16"/>
      <c r="K940" s="16"/>
      <c r="L940" s="14"/>
      <c r="M940" s="16"/>
      <c r="N940" s="14"/>
      <c r="O940" s="6"/>
      <c r="P940" s="6"/>
      <c r="Q940" s="6"/>
    </row>
    <row r="941" spans="1:17" ht="12.75" customHeight="1" x14ac:dyDescent="0.3">
      <c r="A941" s="6"/>
      <c r="B941" s="19">
        <v>938</v>
      </c>
      <c r="C941" s="14"/>
      <c r="D941" s="21">
        <f>NamaPelanggan!D941</f>
        <v>0</v>
      </c>
      <c r="E941" s="14"/>
      <c r="F941" s="16"/>
      <c r="G941" s="16"/>
      <c r="H941" s="16"/>
      <c r="I941" s="16"/>
      <c r="J941" s="16"/>
      <c r="K941" s="16"/>
      <c r="L941" s="14"/>
      <c r="M941" s="16"/>
      <c r="N941" s="14"/>
      <c r="O941" s="6"/>
      <c r="P941" s="6"/>
      <c r="Q941" s="6"/>
    </row>
    <row r="942" spans="1:17" ht="12.75" customHeight="1" x14ac:dyDescent="0.3">
      <c r="A942" s="6"/>
      <c r="B942" s="19">
        <v>939</v>
      </c>
      <c r="C942" s="14"/>
      <c r="D942" s="21">
        <f>NamaPelanggan!D942</f>
        <v>0</v>
      </c>
      <c r="E942" s="14"/>
      <c r="F942" s="16"/>
      <c r="G942" s="16"/>
      <c r="H942" s="16"/>
      <c r="I942" s="16"/>
      <c r="J942" s="16"/>
      <c r="K942" s="16"/>
      <c r="L942" s="14"/>
      <c r="M942" s="16"/>
      <c r="N942" s="14"/>
      <c r="O942" s="6"/>
      <c r="P942" s="6"/>
      <c r="Q942" s="6"/>
    </row>
    <row r="943" spans="1:17" ht="12.75" customHeight="1" x14ac:dyDescent="0.3">
      <c r="A943" s="6"/>
      <c r="B943" s="19">
        <v>940</v>
      </c>
      <c r="C943" s="14"/>
      <c r="D943" s="21">
        <f>NamaPelanggan!D943</f>
        <v>0</v>
      </c>
      <c r="E943" s="14"/>
      <c r="F943" s="16"/>
      <c r="G943" s="16"/>
      <c r="H943" s="16"/>
      <c r="I943" s="16"/>
      <c r="J943" s="16"/>
      <c r="K943" s="16"/>
      <c r="L943" s="14"/>
      <c r="M943" s="16"/>
      <c r="N943" s="14"/>
      <c r="O943" s="6"/>
      <c r="P943" s="6"/>
      <c r="Q943" s="6"/>
    </row>
    <row r="944" spans="1:17" ht="12.75" customHeight="1" x14ac:dyDescent="0.3">
      <c r="A944" s="6"/>
      <c r="B944" s="19">
        <v>941</v>
      </c>
      <c r="C944" s="14"/>
      <c r="D944" s="21">
        <f>NamaPelanggan!D944</f>
        <v>0</v>
      </c>
      <c r="E944" s="14"/>
      <c r="F944" s="16"/>
      <c r="G944" s="16"/>
      <c r="H944" s="16"/>
      <c r="I944" s="16"/>
      <c r="J944" s="16"/>
      <c r="K944" s="16"/>
      <c r="L944" s="14"/>
      <c r="M944" s="16"/>
      <c r="N944" s="14"/>
      <c r="O944" s="6"/>
      <c r="P944" s="6"/>
      <c r="Q944" s="6"/>
    </row>
    <row r="945" spans="1:17" ht="12.75" customHeight="1" x14ac:dyDescent="0.3">
      <c r="A945" s="6"/>
      <c r="B945" s="19">
        <v>942</v>
      </c>
      <c r="C945" s="14"/>
      <c r="D945" s="21">
        <f>NamaPelanggan!D945</f>
        <v>0</v>
      </c>
      <c r="E945" s="14"/>
      <c r="F945" s="16"/>
      <c r="G945" s="16"/>
      <c r="H945" s="16"/>
      <c r="I945" s="16"/>
      <c r="J945" s="16"/>
      <c r="K945" s="16"/>
      <c r="L945" s="14"/>
      <c r="M945" s="16"/>
      <c r="N945" s="14"/>
      <c r="O945" s="6"/>
      <c r="P945" s="6"/>
      <c r="Q945" s="6"/>
    </row>
    <row r="946" spans="1:17" ht="12.75" customHeight="1" x14ac:dyDescent="0.3">
      <c r="A946" s="6"/>
      <c r="B946" s="19">
        <v>943</v>
      </c>
      <c r="C946" s="14"/>
      <c r="D946" s="21">
        <f>NamaPelanggan!D946</f>
        <v>0</v>
      </c>
      <c r="E946" s="14"/>
      <c r="F946" s="16"/>
      <c r="G946" s="16"/>
      <c r="H946" s="16"/>
      <c r="I946" s="16"/>
      <c r="J946" s="16"/>
      <c r="K946" s="16"/>
      <c r="L946" s="14"/>
      <c r="M946" s="16"/>
      <c r="N946" s="14"/>
      <c r="O946" s="6"/>
      <c r="P946" s="6"/>
      <c r="Q946" s="6"/>
    </row>
    <row r="947" spans="1:17" ht="12.75" customHeight="1" x14ac:dyDescent="0.3">
      <c r="A947" s="6"/>
      <c r="B947" s="19">
        <v>944</v>
      </c>
      <c r="C947" s="14"/>
      <c r="D947" s="21">
        <f>NamaPelanggan!D947</f>
        <v>0</v>
      </c>
      <c r="E947" s="14"/>
      <c r="F947" s="16"/>
      <c r="G947" s="16"/>
      <c r="H947" s="16"/>
      <c r="I947" s="16"/>
      <c r="J947" s="16"/>
      <c r="K947" s="16"/>
      <c r="L947" s="14"/>
      <c r="M947" s="16"/>
      <c r="N947" s="14"/>
      <c r="O947" s="6"/>
      <c r="P947" s="6"/>
      <c r="Q947" s="6"/>
    </row>
    <row r="948" spans="1:17" ht="12.75" customHeight="1" x14ac:dyDescent="0.3">
      <c r="A948" s="6"/>
      <c r="B948" s="19">
        <v>945</v>
      </c>
      <c r="C948" s="14"/>
      <c r="D948" s="21">
        <f>NamaPelanggan!D948</f>
        <v>0</v>
      </c>
      <c r="E948" s="14"/>
      <c r="F948" s="16"/>
      <c r="G948" s="16"/>
      <c r="H948" s="16"/>
      <c r="I948" s="16"/>
      <c r="J948" s="16"/>
      <c r="K948" s="16"/>
      <c r="L948" s="14"/>
      <c r="M948" s="16"/>
      <c r="N948" s="14"/>
      <c r="O948" s="6"/>
      <c r="P948" s="6"/>
      <c r="Q948" s="6"/>
    </row>
    <row r="949" spans="1:17" ht="12.75" customHeight="1" x14ac:dyDescent="0.3">
      <c r="A949" s="6"/>
      <c r="B949" s="19">
        <v>946</v>
      </c>
      <c r="C949" s="14"/>
      <c r="D949" s="21">
        <f>NamaPelanggan!D949</f>
        <v>0</v>
      </c>
      <c r="E949" s="14"/>
      <c r="F949" s="16"/>
      <c r="G949" s="16"/>
      <c r="H949" s="16"/>
      <c r="I949" s="16"/>
      <c r="J949" s="16"/>
      <c r="K949" s="16"/>
      <c r="L949" s="14"/>
      <c r="M949" s="16"/>
      <c r="N949" s="14"/>
      <c r="O949" s="6"/>
      <c r="P949" s="6"/>
      <c r="Q949" s="6"/>
    </row>
    <row r="950" spans="1:17" ht="12.75" customHeight="1" x14ac:dyDescent="0.3">
      <c r="A950" s="6"/>
      <c r="B950" s="19">
        <v>947</v>
      </c>
      <c r="C950" s="14"/>
      <c r="D950" s="21">
        <f>NamaPelanggan!D950</f>
        <v>0</v>
      </c>
      <c r="E950" s="14"/>
      <c r="F950" s="16"/>
      <c r="G950" s="16"/>
      <c r="H950" s="16"/>
      <c r="I950" s="16"/>
      <c r="J950" s="16"/>
      <c r="K950" s="16"/>
      <c r="L950" s="14"/>
      <c r="M950" s="16"/>
      <c r="N950" s="14"/>
      <c r="O950" s="6"/>
      <c r="P950" s="6"/>
      <c r="Q950" s="6"/>
    </row>
    <row r="951" spans="1:17" ht="12.75" customHeight="1" x14ac:dyDescent="0.3">
      <c r="A951" s="6"/>
      <c r="B951" s="19">
        <v>948</v>
      </c>
      <c r="C951" s="14"/>
      <c r="D951" s="21">
        <f>NamaPelanggan!D951</f>
        <v>0</v>
      </c>
      <c r="E951" s="14"/>
      <c r="F951" s="16"/>
      <c r="G951" s="16"/>
      <c r="H951" s="16"/>
      <c r="I951" s="16"/>
      <c r="J951" s="16"/>
      <c r="K951" s="16"/>
      <c r="L951" s="14"/>
      <c r="M951" s="16"/>
      <c r="N951" s="14"/>
      <c r="O951" s="6"/>
      <c r="P951" s="6"/>
      <c r="Q951" s="6"/>
    </row>
    <row r="952" spans="1:17" ht="12.75" customHeight="1" x14ac:dyDescent="0.3">
      <c r="A952" s="6"/>
      <c r="B952" s="19">
        <v>949</v>
      </c>
      <c r="C952" s="14"/>
      <c r="D952" s="21">
        <f>NamaPelanggan!D952</f>
        <v>0</v>
      </c>
      <c r="E952" s="14"/>
      <c r="F952" s="16"/>
      <c r="G952" s="16"/>
      <c r="H952" s="16"/>
      <c r="I952" s="16"/>
      <c r="J952" s="16"/>
      <c r="K952" s="16"/>
      <c r="L952" s="14"/>
      <c r="M952" s="16"/>
      <c r="N952" s="14"/>
      <c r="O952" s="6"/>
      <c r="P952" s="6"/>
      <c r="Q952" s="6"/>
    </row>
    <row r="953" spans="1:17" ht="12.75" customHeight="1" x14ac:dyDescent="0.3">
      <c r="A953" s="6"/>
      <c r="B953" s="19">
        <v>950</v>
      </c>
      <c r="C953" s="14"/>
      <c r="D953" s="21">
        <f>NamaPelanggan!D953</f>
        <v>0</v>
      </c>
      <c r="E953" s="14"/>
      <c r="F953" s="16"/>
      <c r="G953" s="16"/>
      <c r="H953" s="16"/>
      <c r="I953" s="16"/>
      <c r="J953" s="16"/>
      <c r="K953" s="16"/>
      <c r="L953" s="14"/>
      <c r="M953" s="16"/>
      <c r="N953" s="14"/>
      <c r="O953" s="6"/>
      <c r="P953" s="6"/>
      <c r="Q953" s="6"/>
    </row>
    <row r="954" spans="1:17" ht="12.75" customHeight="1" x14ac:dyDescent="0.3">
      <c r="A954" s="6"/>
      <c r="B954" s="19">
        <v>951</v>
      </c>
      <c r="C954" s="14"/>
      <c r="D954" s="21">
        <f>NamaPelanggan!D954</f>
        <v>0</v>
      </c>
      <c r="E954" s="14"/>
      <c r="F954" s="16"/>
      <c r="G954" s="16"/>
      <c r="H954" s="16"/>
      <c r="I954" s="16"/>
      <c r="J954" s="16"/>
      <c r="K954" s="16"/>
      <c r="L954" s="14"/>
      <c r="M954" s="16"/>
      <c r="N954" s="14"/>
      <c r="O954" s="6"/>
      <c r="P954" s="6"/>
      <c r="Q954" s="6"/>
    </row>
    <row r="955" spans="1:17" ht="12.75" customHeight="1" x14ac:dyDescent="0.3">
      <c r="A955" s="6"/>
      <c r="B955" s="19">
        <v>952</v>
      </c>
      <c r="C955" s="14"/>
      <c r="D955" s="21">
        <f>NamaPelanggan!D955</f>
        <v>0</v>
      </c>
      <c r="E955" s="14"/>
      <c r="F955" s="16"/>
      <c r="G955" s="16"/>
      <c r="H955" s="16"/>
      <c r="I955" s="16"/>
      <c r="J955" s="16"/>
      <c r="K955" s="16"/>
      <c r="L955" s="14"/>
      <c r="M955" s="16"/>
      <c r="N955" s="14"/>
      <c r="O955" s="6"/>
      <c r="P955" s="6"/>
      <c r="Q955" s="6"/>
    </row>
    <row r="956" spans="1:17" ht="12.75" customHeight="1" x14ac:dyDescent="0.3">
      <c r="A956" s="6"/>
      <c r="B956" s="19">
        <v>953</v>
      </c>
      <c r="C956" s="14"/>
      <c r="D956" s="21">
        <f>NamaPelanggan!D956</f>
        <v>0</v>
      </c>
      <c r="E956" s="14"/>
      <c r="F956" s="16"/>
      <c r="G956" s="16"/>
      <c r="H956" s="16"/>
      <c r="I956" s="16"/>
      <c r="J956" s="16"/>
      <c r="K956" s="16"/>
      <c r="L956" s="14"/>
      <c r="M956" s="16"/>
      <c r="N956" s="14"/>
      <c r="O956" s="6"/>
      <c r="P956" s="6"/>
      <c r="Q956" s="6"/>
    </row>
    <row r="957" spans="1:17" ht="12.75" customHeight="1" x14ac:dyDescent="0.3">
      <c r="A957" s="6"/>
      <c r="B957" s="19">
        <v>954</v>
      </c>
      <c r="C957" s="14"/>
      <c r="D957" s="21">
        <f>NamaPelanggan!D957</f>
        <v>0</v>
      </c>
      <c r="E957" s="14"/>
      <c r="F957" s="16"/>
      <c r="G957" s="16"/>
      <c r="H957" s="16"/>
      <c r="I957" s="16"/>
      <c r="J957" s="16"/>
      <c r="K957" s="16"/>
      <c r="L957" s="14"/>
      <c r="M957" s="16"/>
      <c r="N957" s="14"/>
      <c r="O957" s="6"/>
      <c r="P957" s="6"/>
      <c r="Q957" s="6"/>
    </row>
    <row r="958" spans="1:17" ht="12.75" customHeight="1" x14ac:dyDescent="0.3">
      <c r="A958" s="6"/>
      <c r="B958" s="19">
        <v>955</v>
      </c>
      <c r="C958" s="14"/>
      <c r="D958" s="21">
        <f>NamaPelanggan!D958</f>
        <v>0</v>
      </c>
      <c r="E958" s="14"/>
      <c r="F958" s="16"/>
      <c r="G958" s="16"/>
      <c r="H958" s="16"/>
      <c r="I958" s="16"/>
      <c r="J958" s="16"/>
      <c r="K958" s="16"/>
      <c r="L958" s="14"/>
      <c r="M958" s="16"/>
      <c r="N958" s="14"/>
      <c r="O958" s="6"/>
      <c r="P958" s="6"/>
      <c r="Q958" s="6"/>
    </row>
    <row r="959" spans="1:17" ht="12.75" customHeight="1" x14ac:dyDescent="0.3">
      <c r="A959" s="6"/>
      <c r="B959" s="19">
        <v>956</v>
      </c>
      <c r="C959" s="14"/>
      <c r="D959" s="21">
        <f>NamaPelanggan!D959</f>
        <v>0</v>
      </c>
      <c r="E959" s="14"/>
      <c r="F959" s="16"/>
      <c r="G959" s="16"/>
      <c r="H959" s="16"/>
      <c r="I959" s="16"/>
      <c r="J959" s="16"/>
      <c r="K959" s="16"/>
      <c r="L959" s="14"/>
      <c r="M959" s="16"/>
      <c r="N959" s="14"/>
      <c r="O959" s="6"/>
      <c r="P959" s="6"/>
      <c r="Q959" s="6"/>
    </row>
    <row r="960" spans="1:17" ht="12.75" customHeight="1" x14ac:dyDescent="0.3">
      <c r="A960" s="6"/>
      <c r="B960" s="19">
        <v>957</v>
      </c>
      <c r="C960" s="14"/>
      <c r="D960" s="21">
        <f>NamaPelanggan!D960</f>
        <v>0</v>
      </c>
      <c r="E960" s="14"/>
      <c r="F960" s="16"/>
      <c r="G960" s="16"/>
      <c r="H960" s="16"/>
      <c r="I960" s="16"/>
      <c r="J960" s="16"/>
      <c r="K960" s="16"/>
      <c r="L960" s="14"/>
      <c r="M960" s="16"/>
      <c r="N960" s="14"/>
      <c r="O960" s="6"/>
      <c r="P960" s="6"/>
      <c r="Q960" s="6"/>
    </row>
    <row r="961" spans="1:17" ht="12.75" customHeight="1" x14ac:dyDescent="0.3">
      <c r="A961" s="6"/>
      <c r="B961" s="19">
        <v>958</v>
      </c>
      <c r="C961" s="14"/>
      <c r="D961" s="21">
        <f>NamaPelanggan!D961</f>
        <v>0</v>
      </c>
      <c r="E961" s="14"/>
      <c r="F961" s="16"/>
      <c r="G961" s="16"/>
      <c r="H961" s="16"/>
      <c r="I961" s="16"/>
      <c r="J961" s="16"/>
      <c r="K961" s="16"/>
      <c r="L961" s="14"/>
      <c r="M961" s="16"/>
      <c r="N961" s="14"/>
      <c r="O961" s="6"/>
      <c r="P961" s="6"/>
      <c r="Q961" s="6"/>
    </row>
    <row r="962" spans="1:17" ht="12.75" customHeight="1" x14ac:dyDescent="0.3">
      <c r="A962" s="6"/>
      <c r="B962" s="19">
        <v>959</v>
      </c>
      <c r="C962" s="14"/>
      <c r="D962" s="21">
        <f>NamaPelanggan!D962</f>
        <v>0</v>
      </c>
      <c r="E962" s="14"/>
      <c r="F962" s="16"/>
      <c r="G962" s="16"/>
      <c r="H962" s="16"/>
      <c r="I962" s="16"/>
      <c r="J962" s="16"/>
      <c r="K962" s="16"/>
      <c r="L962" s="14"/>
      <c r="M962" s="16"/>
      <c r="N962" s="14"/>
      <c r="O962" s="6"/>
      <c r="P962" s="6"/>
      <c r="Q962" s="6"/>
    </row>
    <row r="963" spans="1:17" ht="12.75" customHeight="1" x14ac:dyDescent="0.3">
      <c r="A963" s="6"/>
      <c r="B963" s="19">
        <v>960</v>
      </c>
      <c r="C963" s="14"/>
      <c r="D963" s="21">
        <f>NamaPelanggan!D963</f>
        <v>0</v>
      </c>
      <c r="E963" s="14"/>
      <c r="F963" s="16"/>
      <c r="G963" s="16"/>
      <c r="H963" s="16"/>
      <c r="I963" s="16"/>
      <c r="J963" s="16"/>
      <c r="K963" s="16"/>
      <c r="L963" s="14"/>
      <c r="M963" s="16"/>
      <c r="N963" s="14"/>
      <c r="O963" s="6"/>
      <c r="P963" s="6"/>
      <c r="Q963" s="6"/>
    </row>
    <row r="964" spans="1:17" ht="12.75" customHeight="1" x14ac:dyDescent="0.3">
      <c r="A964" s="6"/>
      <c r="B964" s="19">
        <v>961</v>
      </c>
      <c r="C964" s="14"/>
      <c r="D964" s="21">
        <f>NamaPelanggan!D964</f>
        <v>0</v>
      </c>
      <c r="E964" s="14"/>
      <c r="F964" s="16"/>
      <c r="G964" s="16"/>
      <c r="H964" s="16"/>
      <c r="I964" s="16"/>
      <c r="J964" s="16"/>
      <c r="K964" s="16"/>
      <c r="L964" s="14"/>
      <c r="M964" s="16"/>
      <c r="N964" s="14"/>
      <c r="O964" s="6"/>
      <c r="P964" s="6"/>
      <c r="Q964" s="6"/>
    </row>
    <row r="965" spans="1:17" ht="12.75" customHeight="1" x14ac:dyDescent="0.3">
      <c r="A965" s="6"/>
      <c r="B965" s="19">
        <v>962</v>
      </c>
      <c r="C965" s="14"/>
      <c r="D965" s="21">
        <f>NamaPelanggan!D965</f>
        <v>0</v>
      </c>
      <c r="E965" s="14"/>
      <c r="F965" s="16"/>
      <c r="G965" s="16"/>
      <c r="H965" s="16"/>
      <c r="I965" s="16"/>
      <c r="J965" s="16"/>
      <c r="K965" s="16"/>
      <c r="L965" s="14"/>
      <c r="M965" s="16"/>
      <c r="N965" s="14"/>
      <c r="O965" s="6"/>
      <c r="P965" s="6"/>
      <c r="Q965" s="6"/>
    </row>
    <row r="966" spans="1:17" ht="12.75" customHeight="1" x14ac:dyDescent="0.3">
      <c r="A966" s="6"/>
      <c r="B966" s="19">
        <v>963</v>
      </c>
      <c r="C966" s="14"/>
      <c r="D966" s="21">
        <f>NamaPelanggan!D966</f>
        <v>0</v>
      </c>
      <c r="E966" s="14"/>
      <c r="F966" s="16"/>
      <c r="G966" s="16"/>
      <c r="H966" s="16"/>
      <c r="I966" s="16"/>
      <c r="J966" s="16"/>
      <c r="K966" s="16"/>
      <c r="L966" s="14"/>
      <c r="M966" s="16"/>
      <c r="N966" s="14"/>
      <c r="O966" s="6"/>
      <c r="P966" s="6"/>
      <c r="Q966" s="6"/>
    </row>
    <row r="967" spans="1:17" ht="12.75" customHeight="1" x14ac:dyDescent="0.3">
      <c r="A967" s="6"/>
      <c r="B967" s="19">
        <v>964</v>
      </c>
      <c r="C967" s="14"/>
      <c r="D967" s="21">
        <f>NamaPelanggan!D967</f>
        <v>0</v>
      </c>
      <c r="E967" s="14"/>
      <c r="F967" s="16"/>
      <c r="G967" s="16"/>
      <c r="H967" s="16"/>
      <c r="I967" s="16"/>
      <c r="J967" s="16"/>
      <c r="K967" s="16"/>
      <c r="L967" s="14"/>
      <c r="M967" s="16"/>
      <c r="N967" s="14"/>
      <c r="O967" s="6"/>
      <c r="P967" s="6"/>
      <c r="Q967" s="6"/>
    </row>
    <row r="968" spans="1:17" ht="12.75" customHeight="1" x14ac:dyDescent="0.3">
      <c r="A968" s="6"/>
      <c r="B968" s="19">
        <v>965</v>
      </c>
      <c r="C968" s="14"/>
      <c r="D968" s="21">
        <f>NamaPelanggan!D968</f>
        <v>0</v>
      </c>
      <c r="E968" s="14"/>
      <c r="F968" s="16"/>
      <c r="G968" s="16"/>
      <c r="H968" s="16"/>
      <c r="I968" s="16"/>
      <c r="J968" s="16"/>
      <c r="K968" s="16"/>
      <c r="L968" s="14"/>
      <c r="M968" s="16"/>
      <c r="N968" s="14"/>
      <c r="O968" s="6"/>
      <c r="P968" s="6"/>
      <c r="Q968" s="6"/>
    </row>
    <row r="969" spans="1:17" ht="12.75" customHeight="1" x14ac:dyDescent="0.3">
      <c r="A969" s="6"/>
      <c r="B969" s="19">
        <v>966</v>
      </c>
      <c r="C969" s="14"/>
      <c r="D969" s="21">
        <f>NamaPelanggan!D969</f>
        <v>0</v>
      </c>
      <c r="E969" s="14"/>
      <c r="F969" s="16"/>
      <c r="G969" s="16"/>
      <c r="H969" s="16"/>
      <c r="I969" s="16"/>
      <c r="J969" s="16"/>
      <c r="K969" s="16"/>
      <c r="L969" s="14"/>
      <c r="M969" s="16"/>
      <c r="N969" s="14"/>
      <c r="O969" s="6"/>
      <c r="P969" s="6"/>
      <c r="Q969" s="6"/>
    </row>
    <row r="970" spans="1:17" ht="12.75" customHeight="1" x14ac:dyDescent="0.3">
      <c r="A970" s="6"/>
      <c r="B970" s="19">
        <v>967</v>
      </c>
      <c r="C970" s="14"/>
      <c r="D970" s="21">
        <f>NamaPelanggan!D970</f>
        <v>0</v>
      </c>
      <c r="E970" s="14"/>
      <c r="F970" s="16"/>
      <c r="G970" s="16"/>
      <c r="H970" s="16"/>
      <c r="I970" s="16"/>
      <c r="J970" s="16"/>
      <c r="K970" s="16"/>
      <c r="L970" s="14"/>
      <c r="M970" s="16"/>
      <c r="N970" s="14"/>
      <c r="O970" s="6"/>
      <c r="P970" s="6"/>
      <c r="Q970" s="6"/>
    </row>
    <row r="971" spans="1:17" ht="12.75" customHeight="1" x14ac:dyDescent="0.3">
      <c r="A971" s="6"/>
      <c r="B971" s="19">
        <v>968</v>
      </c>
      <c r="C971" s="14"/>
      <c r="D971" s="21">
        <f>NamaPelanggan!D971</f>
        <v>0</v>
      </c>
      <c r="E971" s="14"/>
      <c r="F971" s="16"/>
      <c r="G971" s="16"/>
      <c r="H971" s="16"/>
      <c r="I971" s="16"/>
      <c r="J971" s="16"/>
      <c r="K971" s="16"/>
      <c r="L971" s="14"/>
      <c r="M971" s="16"/>
      <c r="N971" s="14"/>
      <c r="O971" s="6"/>
      <c r="P971" s="6"/>
      <c r="Q971" s="6"/>
    </row>
    <row r="972" spans="1:17" ht="12.75" customHeight="1" x14ac:dyDescent="0.3">
      <c r="A972" s="6"/>
      <c r="B972" s="19">
        <v>969</v>
      </c>
      <c r="C972" s="14"/>
      <c r="D972" s="21">
        <f>NamaPelanggan!D972</f>
        <v>0</v>
      </c>
      <c r="E972" s="14"/>
      <c r="F972" s="16"/>
      <c r="G972" s="16"/>
      <c r="H972" s="16"/>
      <c r="I972" s="16"/>
      <c r="J972" s="16"/>
      <c r="K972" s="16"/>
      <c r="L972" s="14"/>
      <c r="M972" s="16"/>
      <c r="N972" s="14"/>
      <c r="O972" s="6"/>
      <c r="P972" s="6"/>
      <c r="Q972" s="6"/>
    </row>
    <row r="973" spans="1:17" ht="12.75" customHeight="1" x14ac:dyDescent="0.3">
      <c r="A973" s="6"/>
      <c r="B973" s="19">
        <v>970</v>
      </c>
      <c r="C973" s="14"/>
      <c r="D973" s="21">
        <f>NamaPelanggan!D973</f>
        <v>0</v>
      </c>
      <c r="E973" s="14"/>
      <c r="F973" s="16"/>
      <c r="G973" s="16"/>
      <c r="H973" s="16"/>
      <c r="I973" s="16"/>
      <c r="J973" s="16"/>
      <c r="K973" s="16"/>
      <c r="L973" s="14"/>
      <c r="M973" s="16"/>
      <c r="N973" s="14"/>
      <c r="O973" s="6"/>
      <c r="P973" s="6"/>
      <c r="Q973" s="6"/>
    </row>
    <row r="974" spans="1:17" ht="12.75" customHeight="1" x14ac:dyDescent="0.3">
      <c r="A974" s="6"/>
      <c r="B974" s="19">
        <v>971</v>
      </c>
      <c r="C974" s="14"/>
      <c r="D974" s="21">
        <f>NamaPelanggan!D974</f>
        <v>0</v>
      </c>
      <c r="E974" s="14"/>
      <c r="F974" s="16"/>
      <c r="G974" s="16"/>
      <c r="H974" s="16"/>
      <c r="I974" s="16"/>
      <c r="J974" s="16"/>
      <c r="K974" s="16"/>
      <c r="L974" s="14"/>
      <c r="M974" s="16"/>
      <c r="N974" s="14"/>
      <c r="O974" s="6"/>
      <c r="P974" s="6"/>
      <c r="Q974" s="6"/>
    </row>
    <row r="975" spans="1:17" ht="12.75" customHeight="1" x14ac:dyDescent="0.3">
      <c r="A975" s="6"/>
      <c r="B975" s="19">
        <v>972</v>
      </c>
      <c r="C975" s="14"/>
      <c r="D975" s="21">
        <f>NamaPelanggan!D975</f>
        <v>0</v>
      </c>
      <c r="E975" s="14"/>
      <c r="F975" s="16"/>
      <c r="G975" s="16"/>
      <c r="H975" s="16"/>
      <c r="I975" s="16"/>
      <c r="J975" s="16"/>
      <c r="K975" s="16"/>
      <c r="L975" s="14"/>
      <c r="M975" s="16"/>
      <c r="N975" s="14"/>
      <c r="O975" s="6"/>
      <c r="P975" s="6"/>
      <c r="Q975" s="6"/>
    </row>
    <row r="976" spans="1:17" ht="12.75" customHeight="1" x14ac:dyDescent="0.3">
      <c r="A976" s="6"/>
      <c r="B976" s="19">
        <v>973</v>
      </c>
      <c r="C976" s="14"/>
      <c r="D976" s="21">
        <f>NamaPelanggan!D976</f>
        <v>0</v>
      </c>
      <c r="E976" s="14"/>
      <c r="F976" s="16"/>
      <c r="G976" s="16"/>
      <c r="H976" s="16"/>
      <c r="I976" s="16"/>
      <c r="J976" s="16"/>
      <c r="K976" s="16"/>
      <c r="L976" s="14"/>
      <c r="M976" s="16"/>
      <c r="N976" s="14"/>
      <c r="O976" s="6"/>
      <c r="P976" s="6"/>
      <c r="Q976" s="6"/>
    </row>
    <row r="977" spans="1:17" ht="12.75" customHeight="1" x14ac:dyDescent="0.3">
      <c r="A977" s="6"/>
      <c r="B977" s="19">
        <v>974</v>
      </c>
      <c r="C977" s="14"/>
      <c r="D977" s="21">
        <f>NamaPelanggan!D977</f>
        <v>0</v>
      </c>
      <c r="E977" s="14"/>
      <c r="F977" s="16"/>
      <c r="G977" s="16"/>
      <c r="H977" s="16"/>
      <c r="I977" s="16"/>
      <c r="J977" s="16"/>
      <c r="K977" s="16"/>
      <c r="L977" s="14"/>
      <c r="M977" s="16"/>
      <c r="N977" s="14"/>
      <c r="O977" s="6"/>
      <c r="P977" s="6"/>
      <c r="Q977" s="6"/>
    </row>
    <row r="978" spans="1:17" ht="12.75" customHeight="1" x14ac:dyDescent="0.3">
      <c r="A978" s="6"/>
      <c r="B978" s="19">
        <v>975</v>
      </c>
      <c r="C978" s="14"/>
      <c r="D978" s="21">
        <f>NamaPelanggan!D978</f>
        <v>0</v>
      </c>
      <c r="E978" s="14"/>
      <c r="F978" s="16"/>
      <c r="G978" s="16"/>
      <c r="H978" s="16"/>
      <c r="I978" s="16"/>
      <c r="J978" s="16"/>
      <c r="K978" s="16"/>
      <c r="L978" s="14"/>
      <c r="M978" s="16"/>
      <c r="N978" s="14"/>
      <c r="O978" s="6"/>
      <c r="P978" s="6"/>
      <c r="Q978" s="6"/>
    </row>
    <row r="979" spans="1:17" ht="12.75" customHeight="1" x14ac:dyDescent="0.3">
      <c r="A979" s="6"/>
      <c r="B979" s="19">
        <v>976</v>
      </c>
      <c r="C979" s="14"/>
      <c r="D979" s="21">
        <f>NamaPelanggan!D979</f>
        <v>0</v>
      </c>
      <c r="E979" s="14"/>
      <c r="F979" s="16"/>
      <c r="G979" s="16"/>
      <c r="H979" s="16"/>
      <c r="I979" s="16"/>
      <c r="J979" s="16"/>
      <c r="K979" s="16"/>
      <c r="L979" s="14"/>
      <c r="M979" s="16"/>
      <c r="N979" s="14"/>
      <c r="O979" s="6"/>
      <c r="P979" s="6"/>
      <c r="Q979" s="6"/>
    </row>
    <row r="980" spans="1:17" ht="12.75" customHeight="1" x14ac:dyDescent="0.3">
      <c r="A980" s="6"/>
      <c r="B980" s="19">
        <v>977</v>
      </c>
      <c r="C980" s="14"/>
      <c r="D980" s="21">
        <f>NamaPelanggan!D980</f>
        <v>0</v>
      </c>
      <c r="E980" s="14"/>
      <c r="F980" s="16"/>
      <c r="G980" s="16"/>
      <c r="H980" s="16"/>
      <c r="I980" s="16"/>
      <c r="J980" s="16"/>
      <c r="K980" s="16"/>
      <c r="L980" s="14"/>
      <c r="M980" s="16"/>
      <c r="N980" s="14"/>
      <c r="O980" s="6"/>
      <c r="P980" s="6"/>
      <c r="Q980" s="6"/>
    </row>
    <row r="981" spans="1:17" ht="12.75" customHeight="1" x14ac:dyDescent="0.3">
      <c r="A981" s="6"/>
      <c r="B981" s="19">
        <v>978</v>
      </c>
      <c r="C981" s="14"/>
      <c r="D981" s="21">
        <f>NamaPelanggan!D981</f>
        <v>0</v>
      </c>
      <c r="E981" s="14"/>
      <c r="F981" s="16"/>
      <c r="G981" s="16"/>
      <c r="H981" s="16"/>
      <c r="I981" s="16"/>
      <c r="J981" s="16"/>
      <c r="K981" s="16"/>
      <c r="L981" s="14"/>
      <c r="M981" s="16"/>
      <c r="N981" s="14"/>
      <c r="O981" s="6"/>
      <c r="P981" s="6"/>
      <c r="Q981" s="6"/>
    </row>
    <row r="982" spans="1:17" ht="12.75" customHeight="1" x14ac:dyDescent="0.3">
      <c r="A982" s="6"/>
      <c r="B982" s="19">
        <v>979</v>
      </c>
      <c r="C982" s="14"/>
      <c r="D982" s="21">
        <f>NamaPelanggan!D982</f>
        <v>0</v>
      </c>
      <c r="E982" s="14"/>
      <c r="F982" s="16"/>
      <c r="G982" s="16"/>
      <c r="H982" s="16"/>
      <c r="I982" s="16"/>
      <c r="J982" s="16"/>
      <c r="K982" s="16"/>
      <c r="L982" s="14"/>
      <c r="M982" s="16"/>
      <c r="N982" s="14"/>
      <c r="O982" s="6"/>
      <c r="P982" s="6"/>
      <c r="Q982" s="6"/>
    </row>
    <row r="983" spans="1:17" ht="12.75" customHeight="1" x14ac:dyDescent="0.3">
      <c r="A983" s="6"/>
      <c r="B983" s="19">
        <v>980</v>
      </c>
      <c r="C983" s="14"/>
      <c r="D983" s="21">
        <f>NamaPelanggan!D983</f>
        <v>0</v>
      </c>
      <c r="E983" s="14"/>
      <c r="F983" s="16"/>
      <c r="G983" s="16"/>
      <c r="H983" s="16"/>
      <c r="I983" s="16"/>
      <c r="J983" s="16"/>
      <c r="K983" s="16"/>
      <c r="L983" s="14"/>
      <c r="M983" s="16"/>
      <c r="N983" s="14"/>
      <c r="O983" s="6"/>
      <c r="P983" s="6"/>
      <c r="Q983" s="6"/>
    </row>
    <row r="984" spans="1:17" ht="12.75" customHeight="1" x14ac:dyDescent="0.3">
      <c r="A984" s="6"/>
      <c r="B984" s="19">
        <v>981</v>
      </c>
      <c r="C984" s="14"/>
      <c r="D984" s="21">
        <f>NamaPelanggan!D984</f>
        <v>0</v>
      </c>
      <c r="E984" s="14"/>
      <c r="F984" s="16"/>
      <c r="G984" s="16"/>
      <c r="H984" s="16"/>
      <c r="I984" s="16"/>
      <c r="J984" s="16"/>
      <c r="K984" s="16"/>
      <c r="L984" s="14"/>
      <c r="M984" s="16"/>
      <c r="N984" s="14"/>
      <c r="O984" s="6"/>
      <c r="P984" s="6"/>
      <c r="Q984" s="6"/>
    </row>
  </sheetData>
  <autoFilter ref="A1:O984" xr:uid="{00000000-0009-0000-0000-000002000000}"/>
  <mergeCells count="8">
    <mergeCell ref="M2:N2"/>
    <mergeCell ref="B2:B3"/>
    <mergeCell ref="L2:L3"/>
    <mergeCell ref="D2:D3"/>
    <mergeCell ref="E2:E3"/>
    <mergeCell ref="G2:K2"/>
    <mergeCell ref="C2:C3"/>
    <mergeCell ref="F2:F3"/>
  </mergeCells>
  <phoneticPr fontId="18" type="noConversion"/>
  <dataValidations count="1">
    <dataValidation type="list" allowBlank="1" showErrorMessage="1" sqref="L530:L984 L4:L503" xr:uid="{00000000-0002-0000-0200-000000000000}">
      <formula1>"BELUM LUNAS,LUNAS"</formula1>
    </dataValidation>
  </dataValidation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  <outlinePr summaryBelow="0" summaryRight="0"/>
  </sheetPr>
  <dimension ref="A1:G993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D14" sqref="D14"/>
    </sheetView>
  </sheetViews>
  <sheetFormatPr defaultColWidth="12.54296875" defaultRowHeight="15.75" customHeight="1" x14ac:dyDescent="0.25"/>
  <cols>
    <col min="1" max="1" width="1.81640625" customWidth="1"/>
    <col min="2" max="2" width="4.81640625" customWidth="1"/>
    <col min="5" max="5" width="17" customWidth="1"/>
    <col min="6" max="6" width="14.453125" customWidth="1"/>
    <col min="7" max="7" width="1.54296875" customWidth="1"/>
  </cols>
  <sheetData>
    <row r="1" spans="1:7" ht="8.25" customHeight="1" x14ac:dyDescent="0.25">
      <c r="A1" s="6"/>
      <c r="B1" s="6"/>
      <c r="C1" s="6"/>
      <c r="D1" s="6"/>
      <c r="E1" s="7"/>
      <c r="F1" s="6"/>
      <c r="G1" s="6"/>
    </row>
    <row r="2" spans="1:7" ht="19.5" customHeight="1" x14ac:dyDescent="0.25">
      <c r="A2" s="6"/>
      <c r="B2" s="67" t="s">
        <v>1</v>
      </c>
      <c r="C2" s="67" t="s">
        <v>520</v>
      </c>
      <c r="D2" s="67" t="s">
        <v>521</v>
      </c>
      <c r="E2" s="68" t="s">
        <v>522</v>
      </c>
      <c r="F2" s="67" t="s">
        <v>523</v>
      </c>
      <c r="G2" s="6"/>
    </row>
    <row r="3" spans="1:7" ht="12.75" customHeight="1" x14ac:dyDescent="0.25">
      <c r="A3" s="6"/>
      <c r="B3" s="42">
        <v>1</v>
      </c>
      <c r="C3" s="52" t="s">
        <v>590</v>
      </c>
      <c r="D3" s="42" t="s">
        <v>591</v>
      </c>
      <c r="E3" s="43">
        <v>290000</v>
      </c>
      <c r="F3" s="43">
        <f>SUM(E3:E93)</f>
        <v>1915000</v>
      </c>
      <c r="G3" s="6"/>
    </row>
    <row r="4" spans="1:7" ht="12.75" customHeight="1" x14ac:dyDescent="0.25">
      <c r="A4" s="6"/>
      <c r="B4" s="42">
        <v>2</v>
      </c>
      <c r="C4" s="52" t="s">
        <v>592</v>
      </c>
      <c r="D4" s="42" t="s">
        <v>569</v>
      </c>
      <c r="E4" s="43">
        <v>65000</v>
      </c>
      <c r="F4" s="42"/>
      <c r="G4" s="6"/>
    </row>
    <row r="5" spans="1:7" ht="12.75" customHeight="1" x14ac:dyDescent="0.25">
      <c r="A5" s="6"/>
      <c r="B5" s="42">
        <v>3</v>
      </c>
      <c r="C5" s="52" t="s">
        <v>592</v>
      </c>
      <c r="D5" s="42" t="s">
        <v>594</v>
      </c>
      <c r="E5" s="43">
        <v>560000</v>
      </c>
      <c r="F5" s="42"/>
      <c r="G5" s="6"/>
    </row>
    <row r="6" spans="1:7" ht="12.75" customHeight="1" x14ac:dyDescent="0.25">
      <c r="A6" s="6"/>
      <c r="B6" s="42">
        <v>4</v>
      </c>
      <c r="C6" s="53" t="s">
        <v>592</v>
      </c>
      <c r="D6" s="42" t="s">
        <v>591</v>
      </c>
      <c r="E6" s="43">
        <v>225000</v>
      </c>
      <c r="F6" s="42"/>
      <c r="G6" s="6"/>
    </row>
    <row r="7" spans="1:7" ht="12.75" customHeight="1" x14ac:dyDescent="0.25">
      <c r="A7" s="6"/>
      <c r="B7" s="42">
        <v>5</v>
      </c>
      <c r="C7" s="53" t="s">
        <v>593</v>
      </c>
      <c r="D7" s="42" t="s">
        <v>595</v>
      </c>
      <c r="E7" s="43">
        <v>235000</v>
      </c>
      <c r="F7" s="42"/>
      <c r="G7" s="6"/>
    </row>
    <row r="8" spans="1:7" ht="12.75" customHeight="1" x14ac:dyDescent="0.25">
      <c r="A8" s="6"/>
      <c r="B8" s="42">
        <v>6</v>
      </c>
      <c r="C8" s="53" t="s">
        <v>596</v>
      </c>
      <c r="D8" s="42" t="s">
        <v>597</v>
      </c>
      <c r="E8" s="43">
        <v>325000</v>
      </c>
      <c r="F8" s="42"/>
      <c r="G8" s="6"/>
    </row>
    <row r="9" spans="1:7" ht="12.75" customHeight="1" x14ac:dyDescent="0.25">
      <c r="A9" s="6"/>
      <c r="B9" s="42">
        <v>7</v>
      </c>
      <c r="C9" s="53" t="s">
        <v>598</v>
      </c>
      <c r="D9" s="42" t="s">
        <v>591</v>
      </c>
      <c r="E9" s="43">
        <v>70000</v>
      </c>
      <c r="F9" s="42"/>
      <c r="G9" s="6"/>
    </row>
    <row r="10" spans="1:7" ht="12.75" customHeight="1" x14ac:dyDescent="0.25">
      <c r="A10" s="6"/>
      <c r="B10" s="42">
        <v>8</v>
      </c>
      <c r="C10" s="53" t="s">
        <v>599</v>
      </c>
      <c r="D10" s="42" t="s">
        <v>571</v>
      </c>
      <c r="E10" s="43">
        <v>55000</v>
      </c>
      <c r="F10" s="42"/>
      <c r="G10" s="6"/>
    </row>
    <row r="11" spans="1:7" ht="12.75" customHeight="1" x14ac:dyDescent="0.25">
      <c r="A11" s="6"/>
      <c r="B11" s="42">
        <v>9</v>
      </c>
      <c r="C11" s="53" t="s">
        <v>600</v>
      </c>
      <c r="D11" s="42" t="s">
        <v>591</v>
      </c>
      <c r="E11" s="43">
        <v>90000</v>
      </c>
      <c r="F11" s="42"/>
      <c r="G11" s="6"/>
    </row>
    <row r="12" spans="1:7" ht="12.75" customHeight="1" x14ac:dyDescent="0.25">
      <c r="A12" s="6"/>
      <c r="B12" s="6">
        <v>17</v>
      </c>
      <c r="C12" s="65"/>
      <c r="D12" s="65"/>
      <c r="E12" s="66"/>
      <c r="F12" s="6"/>
      <c r="G12" s="6"/>
    </row>
    <row r="13" spans="1:7" ht="12.75" customHeight="1" x14ac:dyDescent="0.25">
      <c r="A13" s="6"/>
      <c r="B13" s="6">
        <v>18</v>
      </c>
      <c r="C13" s="42"/>
      <c r="D13" s="42"/>
      <c r="E13" s="43"/>
      <c r="F13" s="6"/>
      <c r="G13" s="6"/>
    </row>
    <row r="14" spans="1:7" ht="12.75" customHeight="1" x14ac:dyDescent="0.25">
      <c r="A14" s="6"/>
      <c r="B14" s="6">
        <v>19</v>
      </c>
      <c r="C14" s="42"/>
      <c r="D14" s="42"/>
      <c r="E14" s="43"/>
      <c r="F14" s="6"/>
      <c r="G14" s="6"/>
    </row>
    <row r="15" spans="1:7" ht="12.75" customHeight="1" x14ac:dyDescent="0.25">
      <c r="A15" s="6"/>
      <c r="B15" s="6">
        <v>20</v>
      </c>
      <c r="C15" s="42"/>
      <c r="D15" s="42"/>
      <c r="E15" s="43"/>
      <c r="F15" s="6"/>
      <c r="G15" s="6"/>
    </row>
    <row r="16" spans="1:7" ht="12.75" customHeight="1" x14ac:dyDescent="0.25">
      <c r="A16" s="6"/>
      <c r="B16" s="6">
        <v>21</v>
      </c>
      <c r="C16" s="42"/>
      <c r="D16" s="42"/>
      <c r="E16" s="43"/>
      <c r="F16" s="6"/>
      <c r="G16" s="6"/>
    </row>
    <row r="17" spans="1:7" ht="12.75" customHeight="1" x14ac:dyDescent="0.25">
      <c r="A17" s="6"/>
      <c r="B17" s="6">
        <v>22</v>
      </c>
      <c r="C17" s="42"/>
      <c r="D17" s="42"/>
      <c r="E17" s="43"/>
      <c r="F17" s="6"/>
      <c r="G17" s="6"/>
    </row>
    <row r="18" spans="1:7" ht="12.75" customHeight="1" x14ac:dyDescent="0.25">
      <c r="A18" s="6"/>
      <c r="B18" s="6">
        <v>23</v>
      </c>
      <c r="C18" s="42"/>
      <c r="D18" s="42"/>
      <c r="E18" s="43"/>
      <c r="F18" s="6"/>
      <c r="G18" s="6"/>
    </row>
    <row r="19" spans="1:7" ht="12.75" customHeight="1" x14ac:dyDescent="0.25">
      <c r="A19" s="6"/>
      <c r="B19" s="6">
        <v>24</v>
      </c>
      <c r="C19" s="42"/>
      <c r="D19" s="42"/>
      <c r="E19" s="43"/>
      <c r="F19" s="6"/>
      <c r="G19" s="6"/>
    </row>
    <row r="20" spans="1:7" ht="12.75" customHeight="1" x14ac:dyDescent="0.25">
      <c r="A20" s="6"/>
      <c r="B20" s="6">
        <v>25</v>
      </c>
      <c r="C20" s="42"/>
      <c r="D20" s="42"/>
      <c r="E20" s="43"/>
      <c r="F20" s="6"/>
      <c r="G20" s="6"/>
    </row>
    <row r="21" spans="1:7" ht="12.75" customHeight="1" x14ac:dyDescent="0.25">
      <c r="A21" s="6"/>
      <c r="B21" s="6">
        <v>26</v>
      </c>
      <c r="C21" s="42"/>
      <c r="D21" s="42"/>
      <c r="E21" s="43"/>
      <c r="F21" s="6"/>
      <c r="G21" s="6"/>
    </row>
    <row r="22" spans="1:7" ht="12.75" customHeight="1" x14ac:dyDescent="0.25">
      <c r="A22" s="6"/>
      <c r="B22" s="6">
        <v>27</v>
      </c>
      <c r="C22" s="42"/>
      <c r="D22" s="42"/>
      <c r="E22" s="43"/>
      <c r="F22" s="6"/>
      <c r="G22" s="6"/>
    </row>
    <row r="23" spans="1:7" ht="12.75" customHeight="1" x14ac:dyDescent="0.25">
      <c r="A23" s="6"/>
      <c r="B23" s="6">
        <v>28</v>
      </c>
      <c r="C23" s="42"/>
      <c r="D23" s="42"/>
      <c r="E23" s="43"/>
      <c r="F23" s="6"/>
      <c r="G23" s="6"/>
    </row>
    <row r="24" spans="1:7" ht="12.75" customHeight="1" x14ac:dyDescent="0.25">
      <c r="A24" s="6"/>
      <c r="B24" s="6">
        <v>29</v>
      </c>
      <c r="C24" s="42"/>
      <c r="D24" s="42"/>
      <c r="E24" s="43"/>
      <c r="F24" s="6"/>
      <c r="G24" s="6"/>
    </row>
    <row r="25" spans="1:7" ht="12.75" customHeight="1" x14ac:dyDescent="0.25">
      <c r="A25" s="6"/>
      <c r="B25" s="6">
        <v>30</v>
      </c>
      <c r="C25" s="42"/>
      <c r="D25" s="42"/>
      <c r="E25" s="43"/>
      <c r="F25" s="6"/>
      <c r="G25" s="6"/>
    </row>
    <row r="26" spans="1:7" ht="12.75" customHeight="1" x14ac:dyDescent="0.25">
      <c r="A26" s="6"/>
      <c r="B26" s="6"/>
      <c r="C26" s="42"/>
      <c r="D26" s="42"/>
      <c r="E26" s="43"/>
      <c r="F26" s="6"/>
      <c r="G26" s="6"/>
    </row>
    <row r="27" spans="1:7" ht="12.75" customHeight="1" x14ac:dyDescent="0.25">
      <c r="A27" s="6"/>
      <c r="B27" s="6"/>
      <c r="C27" s="6"/>
      <c r="D27" s="6"/>
      <c r="E27" s="7"/>
      <c r="F27" s="6"/>
      <c r="G27" s="6"/>
    </row>
    <row r="28" spans="1:7" ht="12.75" customHeight="1" x14ac:dyDescent="0.25">
      <c r="A28" s="6"/>
      <c r="B28" s="6"/>
      <c r="C28" s="6"/>
      <c r="D28" s="6"/>
      <c r="E28" s="7"/>
      <c r="F28" s="6"/>
      <c r="G28" s="6"/>
    </row>
    <row r="29" spans="1:7" ht="12.75" customHeight="1" x14ac:dyDescent="0.25">
      <c r="A29" s="6"/>
      <c r="B29" s="6"/>
      <c r="C29" s="6"/>
      <c r="D29" s="6"/>
      <c r="E29" s="7"/>
      <c r="F29" s="6"/>
      <c r="G29" s="6"/>
    </row>
    <row r="30" spans="1:7" ht="12.75" customHeight="1" x14ac:dyDescent="0.25">
      <c r="A30" s="6"/>
      <c r="B30" s="6"/>
      <c r="C30" s="6"/>
      <c r="D30" s="6"/>
      <c r="E30" s="7"/>
      <c r="F30" s="6"/>
      <c r="G30" s="6"/>
    </row>
    <row r="31" spans="1:7" ht="12.75" customHeight="1" x14ac:dyDescent="0.25">
      <c r="A31" s="6"/>
      <c r="B31" s="6"/>
      <c r="C31" s="6"/>
      <c r="D31" s="6"/>
      <c r="E31" s="7"/>
      <c r="F31" s="6"/>
      <c r="G31" s="6"/>
    </row>
    <row r="32" spans="1:7" ht="12.75" customHeight="1" x14ac:dyDescent="0.25">
      <c r="A32" s="6"/>
      <c r="B32" s="6"/>
      <c r="C32" s="6"/>
      <c r="D32" s="6"/>
      <c r="E32" s="7"/>
      <c r="F32" s="6"/>
      <c r="G32" s="6"/>
    </row>
    <row r="33" spans="1:7" ht="12.75" customHeight="1" x14ac:dyDescent="0.25">
      <c r="A33" s="6"/>
      <c r="B33" s="6"/>
      <c r="C33" s="6"/>
      <c r="D33" s="6"/>
      <c r="E33" s="7"/>
      <c r="F33" s="6"/>
      <c r="G33" s="6"/>
    </row>
    <row r="34" spans="1:7" ht="12.75" customHeight="1" x14ac:dyDescent="0.25">
      <c r="A34" s="6"/>
      <c r="B34" s="6"/>
      <c r="C34" s="6"/>
      <c r="D34" s="6"/>
      <c r="E34" s="7"/>
      <c r="F34" s="6"/>
      <c r="G34" s="6"/>
    </row>
    <row r="35" spans="1:7" ht="12.75" customHeight="1" x14ac:dyDescent="0.25">
      <c r="A35" s="6"/>
      <c r="B35" s="6"/>
      <c r="C35" s="6"/>
      <c r="D35" s="6"/>
      <c r="E35" s="7"/>
      <c r="F35" s="6"/>
      <c r="G35" s="6"/>
    </row>
    <row r="36" spans="1:7" ht="12.75" customHeight="1" x14ac:dyDescent="0.25">
      <c r="A36" s="6"/>
      <c r="B36" s="6"/>
      <c r="C36" s="6"/>
      <c r="D36" s="6"/>
      <c r="E36" s="7"/>
      <c r="F36" s="6"/>
      <c r="G36" s="6"/>
    </row>
    <row r="37" spans="1:7" ht="12.75" customHeight="1" x14ac:dyDescent="0.25">
      <c r="A37" s="6"/>
      <c r="B37" s="6"/>
      <c r="C37" s="6"/>
      <c r="D37" s="6"/>
      <c r="E37" s="7"/>
      <c r="F37" s="6"/>
      <c r="G37" s="6"/>
    </row>
    <row r="38" spans="1:7" ht="12.75" customHeight="1" x14ac:dyDescent="0.25">
      <c r="A38" s="6"/>
      <c r="B38" s="6"/>
      <c r="C38" s="6"/>
      <c r="D38" s="6"/>
      <c r="E38" s="7"/>
      <c r="F38" s="6"/>
      <c r="G38" s="6"/>
    </row>
    <row r="39" spans="1:7" ht="12.75" customHeight="1" x14ac:dyDescent="0.25">
      <c r="A39" s="6"/>
      <c r="B39" s="6"/>
      <c r="C39" s="6"/>
      <c r="D39" s="6"/>
      <c r="E39" s="7"/>
      <c r="F39" s="6"/>
      <c r="G39" s="6"/>
    </row>
    <row r="40" spans="1:7" ht="12.75" customHeight="1" x14ac:dyDescent="0.25">
      <c r="A40" s="6"/>
      <c r="B40" s="6"/>
      <c r="C40" s="6"/>
      <c r="D40" s="6"/>
      <c r="E40" s="7"/>
      <c r="F40" s="6"/>
      <c r="G40" s="6"/>
    </row>
    <row r="41" spans="1:7" ht="12.75" customHeight="1" x14ac:dyDescent="0.25">
      <c r="A41" s="6"/>
      <c r="B41" s="6"/>
      <c r="C41" s="6"/>
      <c r="D41" s="6"/>
      <c r="E41" s="7"/>
      <c r="F41" s="6"/>
      <c r="G41" s="6"/>
    </row>
    <row r="42" spans="1:7" ht="12.75" customHeight="1" x14ac:dyDescent="0.25">
      <c r="A42" s="6"/>
      <c r="B42" s="6"/>
      <c r="C42" s="6"/>
      <c r="D42" s="6"/>
      <c r="E42" s="7"/>
      <c r="F42" s="6"/>
      <c r="G42" s="6"/>
    </row>
    <row r="43" spans="1:7" ht="12.75" customHeight="1" x14ac:dyDescent="0.25">
      <c r="A43" s="6"/>
      <c r="B43" s="6"/>
      <c r="C43" s="6"/>
      <c r="D43" s="6"/>
      <c r="E43" s="7"/>
      <c r="F43" s="6"/>
      <c r="G43" s="6"/>
    </row>
    <row r="44" spans="1:7" ht="12.75" customHeight="1" x14ac:dyDescent="0.25">
      <c r="A44" s="6"/>
      <c r="B44" s="6"/>
      <c r="C44" s="6"/>
      <c r="D44" s="6"/>
      <c r="E44" s="7"/>
      <c r="F44" s="6"/>
      <c r="G44" s="6"/>
    </row>
    <row r="45" spans="1:7" ht="12.75" customHeight="1" x14ac:dyDescent="0.25">
      <c r="A45" s="6"/>
      <c r="B45" s="6"/>
      <c r="C45" s="6"/>
      <c r="D45" s="6"/>
      <c r="E45" s="7"/>
      <c r="F45" s="6"/>
      <c r="G45" s="6"/>
    </row>
    <row r="46" spans="1:7" ht="12.75" customHeight="1" x14ac:dyDescent="0.25">
      <c r="A46" s="6"/>
      <c r="B46" s="6"/>
      <c r="C46" s="6"/>
      <c r="D46" s="6"/>
      <c r="E46" s="7"/>
      <c r="F46" s="6"/>
      <c r="G46" s="6"/>
    </row>
    <row r="47" spans="1:7" ht="12.75" customHeight="1" x14ac:dyDescent="0.25">
      <c r="A47" s="6"/>
      <c r="B47" s="6"/>
      <c r="C47" s="6"/>
      <c r="D47" s="6"/>
      <c r="E47" s="7"/>
      <c r="F47" s="6"/>
      <c r="G47" s="6"/>
    </row>
    <row r="48" spans="1:7" ht="12.75" customHeight="1" x14ac:dyDescent="0.25">
      <c r="A48" s="6"/>
      <c r="B48" s="6"/>
      <c r="C48" s="6"/>
      <c r="D48" s="6"/>
      <c r="E48" s="7"/>
      <c r="F48" s="6"/>
      <c r="G48" s="6"/>
    </row>
    <row r="49" spans="1:7" ht="12.75" customHeight="1" x14ac:dyDescent="0.25">
      <c r="A49" s="6"/>
      <c r="B49" s="6"/>
      <c r="C49" s="6"/>
      <c r="D49" s="6"/>
      <c r="E49" s="7"/>
      <c r="F49" s="6"/>
      <c r="G49" s="6"/>
    </row>
    <row r="50" spans="1:7" ht="12.75" customHeight="1" x14ac:dyDescent="0.25">
      <c r="A50" s="6"/>
      <c r="B50" s="6"/>
      <c r="C50" s="6"/>
      <c r="D50" s="6"/>
      <c r="E50" s="7"/>
      <c r="F50" s="6"/>
      <c r="G50" s="6"/>
    </row>
    <row r="51" spans="1:7" ht="12.75" customHeight="1" x14ac:dyDescent="0.25">
      <c r="A51" s="6"/>
      <c r="B51" s="6"/>
      <c r="C51" s="6"/>
      <c r="D51" s="6"/>
      <c r="E51" s="7"/>
      <c r="F51" s="6"/>
      <c r="G51" s="6"/>
    </row>
    <row r="52" spans="1:7" ht="12.75" customHeight="1" x14ac:dyDescent="0.25">
      <c r="A52" s="6"/>
      <c r="B52" s="6"/>
      <c r="C52" s="6"/>
      <c r="D52" s="6"/>
      <c r="E52" s="7"/>
      <c r="F52" s="6"/>
      <c r="G52" s="6"/>
    </row>
    <row r="53" spans="1:7" ht="12.75" customHeight="1" x14ac:dyDescent="0.25">
      <c r="A53" s="6"/>
      <c r="B53" s="6"/>
      <c r="C53" s="6"/>
      <c r="D53" s="6"/>
      <c r="E53" s="7"/>
      <c r="F53" s="6"/>
      <c r="G53" s="6"/>
    </row>
    <row r="54" spans="1:7" ht="12.75" customHeight="1" x14ac:dyDescent="0.25">
      <c r="A54" s="6"/>
      <c r="B54" s="6"/>
      <c r="C54" s="6"/>
      <c r="D54" s="6"/>
      <c r="E54" s="7"/>
      <c r="F54" s="6"/>
      <c r="G54" s="6"/>
    </row>
    <row r="55" spans="1:7" ht="12.75" customHeight="1" x14ac:dyDescent="0.25">
      <c r="A55" s="6"/>
      <c r="B55" s="6"/>
      <c r="C55" s="6"/>
      <c r="D55" s="6"/>
      <c r="E55" s="7"/>
      <c r="F55" s="6"/>
      <c r="G55" s="6"/>
    </row>
    <row r="56" spans="1:7" ht="12.75" customHeight="1" x14ac:dyDescent="0.25">
      <c r="A56" s="6"/>
      <c r="B56" s="6"/>
      <c r="C56" s="6"/>
      <c r="D56" s="6"/>
      <c r="E56" s="7"/>
      <c r="F56" s="6"/>
      <c r="G56" s="6"/>
    </row>
    <row r="57" spans="1:7" ht="12.75" customHeight="1" x14ac:dyDescent="0.25">
      <c r="A57" s="6"/>
      <c r="B57" s="6"/>
      <c r="C57" s="6"/>
      <c r="D57" s="6"/>
      <c r="E57" s="7"/>
      <c r="F57" s="6"/>
      <c r="G57" s="6"/>
    </row>
    <row r="58" spans="1:7" ht="12.75" customHeight="1" x14ac:dyDescent="0.25">
      <c r="A58" s="6"/>
      <c r="B58" s="6"/>
      <c r="C58" s="6"/>
      <c r="D58" s="6"/>
      <c r="E58" s="7"/>
      <c r="F58" s="6"/>
      <c r="G58" s="6"/>
    </row>
    <row r="59" spans="1:7" ht="12.75" customHeight="1" x14ac:dyDescent="0.25">
      <c r="A59" s="6"/>
      <c r="B59" s="6"/>
      <c r="C59" s="6"/>
      <c r="D59" s="6"/>
      <c r="E59" s="7"/>
      <c r="F59" s="6"/>
      <c r="G59" s="6"/>
    </row>
    <row r="60" spans="1:7" ht="12.75" customHeight="1" x14ac:dyDescent="0.25">
      <c r="A60" s="6"/>
      <c r="B60" s="6"/>
      <c r="C60" s="6"/>
      <c r="D60" s="6"/>
      <c r="E60" s="7"/>
      <c r="F60" s="6"/>
      <c r="G60" s="6"/>
    </row>
    <row r="61" spans="1:7" ht="12.75" customHeight="1" x14ac:dyDescent="0.25">
      <c r="A61" s="6"/>
      <c r="B61" s="6"/>
      <c r="C61" s="6"/>
      <c r="D61" s="6"/>
      <c r="E61" s="7"/>
      <c r="F61" s="6"/>
      <c r="G61" s="6"/>
    </row>
    <row r="62" spans="1:7" ht="12.75" customHeight="1" x14ac:dyDescent="0.25">
      <c r="A62" s="6"/>
      <c r="B62" s="6"/>
      <c r="C62" s="6"/>
      <c r="D62" s="6"/>
      <c r="E62" s="7"/>
      <c r="F62" s="6"/>
      <c r="G62" s="6"/>
    </row>
    <row r="63" spans="1:7" ht="12.75" customHeight="1" x14ac:dyDescent="0.25">
      <c r="A63" s="6"/>
      <c r="B63" s="6"/>
      <c r="C63" s="6"/>
      <c r="D63" s="6"/>
      <c r="E63" s="7"/>
      <c r="F63" s="6"/>
      <c r="G63" s="6"/>
    </row>
    <row r="64" spans="1:7" ht="12.75" customHeight="1" x14ac:dyDescent="0.25">
      <c r="A64" s="6"/>
      <c r="B64" s="6"/>
      <c r="C64" s="6"/>
      <c r="D64" s="6"/>
      <c r="E64" s="7"/>
      <c r="F64" s="6"/>
      <c r="G64" s="6"/>
    </row>
    <row r="65" spans="1:7" ht="12.75" customHeight="1" x14ac:dyDescent="0.25">
      <c r="A65" s="6"/>
      <c r="B65" s="6"/>
      <c r="C65" s="6"/>
      <c r="D65" s="6"/>
      <c r="E65" s="7"/>
      <c r="F65" s="6"/>
      <c r="G65" s="6"/>
    </row>
    <row r="66" spans="1:7" ht="12.75" customHeight="1" x14ac:dyDescent="0.25">
      <c r="A66" s="6"/>
      <c r="B66" s="6"/>
      <c r="C66" s="6"/>
      <c r="D66" s="6"/>
      <c r="E66" s="7"/>
      <c r="F66" s="6"/>
      <c r="G66" s="6"/>
    </row>
    <row r="67" spans="1:7" ht="12.75" customHeight="1" x14ac:dyDescent="0.25">
      <c r="A67" s="6"/>
      <c r="B67" s="6"/>
      <c r="C67" s="6"/>
      <c r="D67" s="6"/>
      <c r="E67" s="7"/>
      <c r="F67" s="6"/>
      <c r="G67" s="6"/>
    </row>
    <row r="68" spans="1:7" ht="12.75" customHeight="1" x14ac:dyDescent="0.25">
      <c r="A68" s="6"/>
      <c r="B68" s="6"/>
      <c r="C68" s="6"/>
      <c r="D68" s="6"/>
      <c r="E68" s="7"/>
      <c r="F68" s="6"/>
      <c r="G68" s="6"/>
    </row>
    <row r="69" spans="1:7" ht="12.75" customHeight="1" x14ac:dyDescent="0.25">
      <c r="A69" s="6"/>
      <c r="B69" s="6"/>
      <c r="C69" s="6"/>
      <c r="D69" s="6"/>
      <c r="E69" s="7"/>
      <c r="F69" s="6"/>
      <c r="G69" s="6"/>
    </row>
    <row r="70" spans="1:7" ht="12.75" customHeight="1" x14ac:dyDescent="0.25">
      <c r="A70" s="6"/>
      <c r="B70" s="6"/>
      <c r="C70" s="6"/>
      <c r="D70" s="6"/>
      <c r="E70" s="7"/>
      <c r="F70" s="6"/>
      <c r="G70" s="6"/>
    </row>
    <row r="71" spans="1:7" ht="12.75" customHeight="1" x14ac:dyDescent="0.25">
      <c r="A71" s="6"/>
      <c r="B71" s="6"/>
      <c r="C71" s="6"/>
      <c r="D71" s="6"/>
      <c r="E71" s="7"/>
      <c r="F71" s="6"/>
      <c r="G71" s="6"/>
    </row>
    <row r="72" spans="1:7" ht="12.75" customHeight="1" x14ac:dyDescent="0.25">
      <c r="A72" s="6"/>
      <c r="B72" s="6"/>
      <c r="C72" s="6"/>
      <c r="D72" s="6"/>
      <c r="E72" s="7"/>
      <c r="F72" s="6"/>
      <c r="G72" s="6"/>
    </row>
    <row r="73" spans="1:7" ht="12.75" customHeight="1" x14ac:dyDescent="0.25">
      <c r="A73" s="6"/>
      <c r="B73" s="6"/>
      <c r="C73" s="6"/>
      <c r="D73" s="6"/>
      <c r="E73" s="7"/>
      <c r="F73" s="6"/>
      <c r="G73" s="6"/>
    </row>
    <row r="74" spans="1:7" ht="12.75" customHeight="1" x14ac:dyDescent="0.25">
      <c r="A74" s="6"/>
      <c r="B74" s="6"/>
      <c r="C74" s="6"/>
      <c r="D74" s="6"/>
      <c r="E74" s="7"/>
      <c r="F74" s="6"/>
      <c r="G74" s="6"/>
    </row>
    <row r="75" spans="1:7" ht="12.75" customHeight="1" x14ac:dyDescent="0.25">
      <c r="A75" s="6"/>
      <c r="B75" s="6"/>
      <c r="C75" s="6"/>
      <c r="D75" s="6"/>
      <c r="E75" s="7"/>
      <c r="F75" s="6"/>
      <c r="G75" s="6"/>
    </row>
    <row r="76" spans="1:7" ht="12.75" customHeight="1" x14ac:dyDescent="0.25">
      <c r="A76" s="6"/>
      <c r="B76" s="6"/>
      <c r="C76" s="6"/>
      <c r="D76" s="6"/>
      <c r="E76" s="7"/>
      <c r="F76" s="6"/>
      <c r="G76" s="6"/>
    </row>
    <row r="77" spans="1:7" ht="12.75" customHeight="1" x14ac:dyDescent="0.25">
      <c r="A77" s="6"/>
      <c r="B77" s="6"/>
      <c r="C77" s="6"/>
      <c r="D77" s="6"/>
      <c r="E77" s="7"/>
      <c r="F77" s="6"/>
      <c r="G77" s="6"/>
    </row>
    <row r="78" spans="1:7" ht="12.75" customHeight="1" x14ac:dyDescent="0.25">
      <c r="A78" s="6"/>
      <c r="B78" s="6"/>
      <c r="C78" s="6"/>
      <c r="D78" s="6"/>
      <c r="E78" s="7"/>
      <c r="F78" s="6"/>
      <c r="G78" s="6"/>
    </row>
    <row r="79" spans="1:7" ht="12.75" customHeight="1" x14ac:dyDescent="0.25">
      <c r="A79" s="6"/>
      <c r="B79" s="6"/>
      <c r="C79" s="6"/>
      <c r="D79" s="6"/>
      <c r="E79" s="7"/>
      <c r="F79" s="6"/>
      <c r="G79" s="6"/>
    </row>
    <row r="80" spans="1:7" ht="12.75" customHeight="1" x14ac:dyDescent="0.25">
      <c r="A80" s="6"/>
      <c r="B80" s="6"/>
      <c r="C80" s="6"/>
      <c r="D80" s="6"/>
      <c r="E80" s="7"/>
      <c r="F80" s="6"/>
      <c r="G80" s="6"/>
    </row>
    <row r="81" spans="1:7" ht="12.75" customHeight="1" x14ac:dyDescent="0.25">
      <c r="A81" s="6"/>
      <c r="B81" s="6"/>
      <c r="C81" s="6"/>
      <c r="D81" s="6"/>
      <c r="E81" s="7"/>
      <c r="F81" s="6"/>
      <c r="G81" s="6"/>
    </row>
    <row r="82" spans="1:7" ht="12.75" customHeight="1" x14ac:dyDescent="0.25">
      <c r="A82" s="6"/>
      <c r="B82" s="6"/>
      <c r="C82" s="6"/>
      <c r="D82" s="6"/>
      <c r="E82" s="7"/>
      <c r="F82" s="6"/>
      <c r="G82" s="6"/>
    </row>
    <row r="83" spans="1:7" ht="12.75" customHeight="1" x14ac:dyDescent="0.25">
      <c r="A83" s="6"/>
      <c r="B83" s="6"/>
      <c r="C83" s="6"/>
      <c r="D83" s="6"/>
      <c r="E83" s="7"/>
      <c r="F83" s="6"/>
      <c r="G83" s="6"/>
    </row>
    <row r="84" spans="1:7" ht="12.75" customHeight="1" x14ac:dyDescent="0.25">
      <c r="A84" s="6"/>
      <c r="B84" s="6"/>
      <c r="C84" s="6"/>
      <c r="D84" s="6"/>
      <c r="E84" s="7"/>
      <c r="F84" s="6"/>
      <c r="G84" s="6"/>
    </row>
    <row r="85" spans="1:7" ht="12.75" customHeight="1" x14ac:dyDescent="0.25">
      <c r="A85" s="6"/>
      <c r="B85" s="6"/>
      <c r="C85" s="6"/>
      <c r="D85" s="6"/>
      <c r="E85" s="7"/>
      <c r="F85" s="6"/>
      <c r="G85" s="6"/>
    </row>
    <row r="86" spans="1:7" ht="12.75" customHeight="1" x14ac:dyDescent="0.25">
      <c r="A86" s="6"/>
      <c r="B86" s="6"/>
      <c r="C86" s="6"/>
      <c r="D86" s="6"/>
      <c r="E86" s="7"/>
      <c r="F86" s="6"/>
      <c r="G86" s="6"/>
    </row>
    <row r="87" spans="1:7" ht="12.75" customHeight="1" x14ac:dyDescent="0.25">
      <c r="A87" s="6"/>
      <c r="B87" s="6"/>
      <c r="C87" s="6"/>
      <c r="D87" s="6"/>
      <c r="E87" s="7"/>
      <c r="F87" s="6"/>
      <c r="G87" s="6"/>
    </row>
    <row r="88" spans="1:7" ht="12.75" customHeight="1" x14ac:dyDescent="0.25">
      <c r="A88" s="6"/>
      <c r="B88" s="6"/>
      <c r="C88" s="6"/>
      <c r="D88" s="6"/>
      <c r="E88" s="7"/>
      <c r="F88" s="6"/>
      <c r="G88" s="6"/>
    </row>
    <row r="89" spans="1:7" ht="12.75" customHeight="1" x14ac:dyDescent="0.25">
      <c r="A89" s="6"/>
      <c r="B89" s="6"/>
      <c r="C89" s="6"/>
      <c r="D89" s="6"/>
      <c r="E89" s="7"/>
      <c r="F89" s="6"/>
      <c r="G89" s="6"/>
    </row>
    <row r="90" spans="1:7" ht="12.75" customHeight="1" x14ac:dyDescent="0.25">
      <c r="A90" s="6"/>
      <c r="B90" s="6"/>
      <c r="C90" s="6"/>
      <c r="D90" s="6"/>
      <c r="E90" s="7"/>
      <c r="F90" s="6"/>
      <c r="G90" s="6"/>
    </row>
    <row r="91" spans="1:7" ht="12.75" customHeight="1" x14ac:dyDescent="0.25">
      <c r="A91" s="6"/>
      <c r="B91" s="6"/>
      <c r="C91" s="6"/>
      <c r="D91" s="6"/>
      <c r="E91" s="7"/>
      <c r="F91" s="6"/>
      <c r="G91" s="6"/>
    </row>
    <row r="92" spans="1:7" ht="12.75" customHeight="1" x14ac:dyDescent="0.25">
      <c r="A92" s="6"/>
      <c r="B92" s="6"/>
      <c r="C92" s="6"/>
      <c r="D92" s="6"/>
      <c r="E92" s="7"/>
      <c r="F92" s="6"/>
      <c r="G92" s="6"/>
    </row>
    <row r="93" spans="1:7" ht="12.75" customHeight="1" x14ac:dyDescent="0.25">
      <c r="A93" s="6"/>
      <c r="B93" s="6"/>
      <c r="C93" s="6"/>
      <c r="D93" s="6"/>
      <c r="E93" s="7"/>
      <c r="F93" s="6"/>
      <c r="G93" s="6"/>
    </row>
    <row r="94" spans="1:7" ht="12.75" customHeight="1" x14ac:dyDescent="0.25">
      <c r="A94" s="6"/>
      <c r="B94" s="6"/>
      <c r="C94" s="6"/>
      <c r="D94" s="6"/>
      <c r="E94" s="7"/>
      <c r="F94" s="6"/>
      <c r="G94" s="6"/>
    </row>
    <row r="95" spans="1:7" ht="12.75" customHeight="1" x14ac:dyDescent="0.25">
      <c r="A95" s="6"/>
      <c r="B95" s="6"/>
      <c r="C95" s="6"/>
      <c r="D95" s="6"/>
      <c r="E95" s="7"/>
      <c r="F95" s="6"/>
      <c r="G95" s="6"/>
    </row>
    <row r="96" spans="1:7" ht="12.75" customHeight="1" x14ac:dyDescent="0.25">
      <c r="A96" s="6"/>
      <c r="B96" s="6"/>
      <c r="C96" s="6"/>
      <c r="D96" s="6"/>
      <c r="E96" s="7"/>
      <c r="F96" s="6"/>
      <c r="G96" s="6"/>
    </row>
    <row r="97" spans="1:7" ht="12.75" customHeight="1" x14ac:dyDescent="0.25">
      <c r="A97" s="6"/>
      <c r="B97" s="6"/>
      <c r="C97" s="6"/>
      <c r="D97" s="6"/>
      <c r="E97" s="7"/>
      <c r="F97" s="6"/>
      <c r="G97" s="6"/>
    </row>
    <row r="98" spans="1:7" ht="12.75" customHeight="1" x14ac:dyDescent="0.25">
      <c r="A98" s="6"/>
      <c r="B98" s="6"/>
      <c r="C98" s="6"/>
      <c r="D98" s="6"/>
      <c r="E98" s="7"/>
      <c r="F98" s="6"/>
      <c r="G98" s="6"/>
    </row>
    <row r="99" spans="1:7" ht="12.75" customHeight="1" x14ac:dyDescent="0.25">
      <c r="A99" s="6"/>
      <c r="B99" s="6"/>
      <c r="C99" s="6"/>
      <c r="D99" s="6"/>
      <c r="E99" s="7"/>
      <c r="F99" s="6"/>
      <c r="G99" s="6"/>
    </row>
    <row r="100" spans="1:7" ht="12.75" customHeight="1" x14ac:dyDescent="0.25">
      <c r="A100" s="6"/>
      <c r="B100" s="6"/>
      <c r="C100" s="6"/>
      <c r="D100" s="6"/>
      <c r="E100" s="7"/>
      <c r="F100" s="6"/>
      <c r="G100" s="6"/>
    </row>
    <row r="101" spans="1:7" ht="12.75" customHeight="1" x14ac:dyDescent="0.25">
      <c r="A101" s="6"/>
      <c r="B101" s="6"/>
      <c r="C101" s="6"/>
      <c r="D101" s="6"/>
      <c r="E101" s="7"/>
      <c r="F101" s="6"/>
      <c r="G101" s="6"/>
    </row>
    <row r="102" spans="1:7" ht="12.75" customHeight="1" x14ac:dyDescent="0.25">
      <c r="A102" s="6"/>
      <c r="B102" s="6"/>
      <c r="C102" s="6"/>
      <c r="D102" s="6"/>
      <c r="E102" s="7"/>
      <c r="F102" s="6"/>
      <c r="G102" s="6"/>
    </row>
    <row r="103" spans="1:7" ht="12.75" customHeight="1" x14ac:dyDescent="0.25">
      <c r="A103" s="6"/>
      <c r="B103" s="6"/>
      <c r="C103" s="6"/>
      <c r="D103" s="6"/>
      <c r="E103" s="7"/>
      <c r="F103" s="6"/>
      <c r="G103" s="6"/>
    </row>
    <row r="104" spans="1:7" ht="12.75" customHeight="1" x14ac:dyDescent="0.25">
      <c r="A104" s="6"/>
      <c r="B104" s="6"/>
      <c r="C104" s="6"/>
      <c r="D104" s="6"/>
      <c r="E104" s="7"/>
      <c r="F104" s="6"/>
      <c r="G104" s="6"/>
    </row>
    <row r="105" spans="1:7" ht="12.75" customHeight="1" x14ac:dyDescent="0.25">
      <c r="A105" s="6"/>
      <c r="B105" s="6"/>
      <c r="C105" s="6"/>
      <c r="D105" s="6"/>
      <c r="E105" s="7"/>
      <c r="F105" s="6"/>
      <c r="G105" s="6"/>
    </row>
    <row r="106" spans="1:7" ht="12.75" customHeight="1" x14ac:dyDescent="0.25">
      <c r="A106" s="6"/>
      <c r="B106" s="6"/>
      <c r="C106" s="6"/>
      <c r="D106" s="6"/>
      <c r="E106" s="7"/>
      <c r="F106" s="6"/>
      <c r="G106" s="6"/>
    </row>
    <row r="107" spans="1:7" ht="12.75" customHeight="1" x14ac:dyDescent="0.25">
      <c r="A107" s="6"/>
      <c r="B107" s="6"/>
      <c r="C107" s="6"/>
      <c r="D107" s="6"/>
      <c r="E107" s="7"/>
      <c r="F107" s="6"/>
      <c r="G107" s="6"/>
    </row>
    <row r="108" spans="1:7" ht="12.75" customHeight="1" x14ac:dyDescent="0.25">
      <c r="A108" s="6"/>
      <c r="B108" s="6"/>
      <c r="C108" s="6"/>
      <c r="D108" s="6"/>
      <c r="E108" s="7"/>
      <c r="F108" s="6"/>
      <c r="G108" s="6"/>
    </row>
    <row r="109" spans="1:7" ht="12.75" customHeight="1" x14ac:dyDescent="0.25">
      <c r="A109" s="6"/>
      <c r="B109" s="6"/>
      <c r="C109" s="6"/>
      <c r="D109" s="6"/>
      <c r="E109" s="7"/>
      <c r="F109" s="6"/>
      <c r="G109" s="6"/>
    </row>
    <row r="110" spans="1:7" ht="12.75" customHeight="1" x14ac:dyDescent="0.25">
      <c r="A110" s="6"/>
      <c r="B110" s="6"/>
      <c r="C110" s="6"/>
      <c r="D110" s="6"/>
      <c r="E110" s="7"/>
      <c r="F110" s="6"/>
      <c r="G110" s="6"/>
    </row>
    <row r="111" spans="1:7" ht="12.75" customHeight="1" x14ac:dyDescent="0.25">
      <c r="A111" s="6"/>
      <c r="B111" s="6"/>
      <c r="C111" s="6"/>
      <c r="D111" s="6"/>
      <c r="E111" s="7"/>
      <c r="F111" s="6"/>
      <c r="G111" s="6"/>
    </row>
    <row r="112" spans="1:7" ht="12.75" customHeight="1" x14ac:dyDescent="0.25">
      <c r="A112" s="6"/>
      <c r="B112" s="6"/>
      <c r="C112" s="6"/>
      <c r="D112" s="6"/>
      <c r="E112" s="7"/>
      <c r="F112" s="6"/>
      <c r="G112" s="6"/>
    </row>
    <row r="113" spans="1:7" ht="12.75" customHeight="1" x14ac:dyDescent="0.25">
      <c r="A113" s="6"/>
      <c r="B113" s="6"/>
      <c r="C113" s="6"/>
      <c r="D113" s="6"/>
      <c r="E113" s="7"/>
      <c r="F113" s="6"/>
      <c r="G113" s="6"/>
    </row>
    <row r="114" spans="1:7" ht="12.75" customHeight="1" x14ac:dyDescent="0.25">
      <c r="A114" s="6"/>
      <c r="B114" s="6"/>
      <c r="C114" s="6"/>
      <c r="D114" s="6"/>
      <c r="E114" s="7"/>
      <c r="F114" s="6"/>
      <c r="G114" s="6"/>
    </row>
    <row r="115" spans="1:7" ht="12.75" customHeight="1" x14ac:dyDescent="0.25">
      <c r="A115" s="6"/>
      <c r="B115" s="6"/>
      <c r="C115" s="6"/>
      <c r="D115" s="6"/>
      <c r="E115" s="7"/>
      <c r="F115" s="6"/>
      <c r="G115" s="6"/>
    </row>
    <row r="116" spans="1:7" ht="12.75" customHeight="1" x14ac:dyDescent="0.25">
      <c r="A116" s="6"/>
      <c r="B116" s="6"/>
      <c r="C116" s="6"/>
      <c r="D116" s="6"/>
      <c r="E116" s="7"/>
      <c r="F116" s="6"/>
      <c r="G116" s="6"/>
    </row>
    <row r="117" spans="1:7" ht="12.75" customHeight="1" x14ac:dyDescent="0.25">
      <c r="A117" s="6"/>
      <c r="B117" s="6"/>
      <c r="C117" s="6"/>
      <c r="D117" s="6"/>
      <c r="E117" s="7"/>
      <c r="F117" s="6"/>
      <c r="G117" s="6"/>
    </row>
    <row r="118" spans="1:7" ht="12.75" customHeight="1" x14ac:dyDescent="0.25">
      <c r="A118" s="6"/>
      <c r="B118" s="6"/>
      <c r="C118" s="6"/>
      <c r="D118" s="6"/>
      <c r="E118" s="7"/>
      <c r="F118" s="6"/>
      <c r="G118" s="6"/>
    </row>
    <row r="119" spans="1:7" ht="12.75" customHeight="1" x14ac:dyDescent="0.25">
      <c r="A119" s="6"/>
      <c r="B119" s="6"/>
      <c r="C119" s="6"/>
      <c r="D119" s="6"/>
      <c r="E119" s="7"/>
      <c r="F119" s="6"/>
      <c r="G119" s="6"/>
    </row>
    <row r="120" spans="1:7" ht="12.75" customHeight="1" x14ac:dyDescent="0.25">
      <c r="A120" s="6"/>
      <c r="B120" s="6"/>
      <c r="C120" s="6"/>
      <c r="D120" s="6"/>
      <c r="E120" s="7"/>
      <c r="F120" s="6"/>
      <c r="G120" s="6"/>
    </row>
    <row r="121" spans="1:7" ht="12.75" customHeight="1" x14ac:dyDescent="0.25">
      <c r="A121" s="6"/>
      <c r="B121" s="6"/>
      <c r="C121" s="6"/>
      <c r="D121" s="6"/>
      <c r="E121" s="7"/>
      <c r="F121" s="6"/>
      <c r="G121" s="6"/>
    </row>
    <row r="122" spans="1:7" ht="12.75" customHeight="1" x14ac:dyDescent="0.25">
      <c r="A122" s="6"/>
      <c r="B122" s="6"/>
      <c r="C122" s="6"/>
      <c r="D122" s="6"/>
      <c r="E122" s="7"/>
      <c r="F122" s="6"/>
      <c r="G122" s="6"/>
    </row>
    <row r="123" spans="1:7" ht="12.75" customHeight="1" x14ac:dyDescent="0.25">
      <c r="A123" s="6"/>
      <c r="B123" s="6"/>
      <c r="C123" s="6"/>
      <c r="D123" s="6"/>
      <c r="E123" s="7"/>
      <c r="F123" s="6"/>
      <c r="G123" s="6"/>
    </row>
    <row r="124" spans="1:7" ht="12.75" customHeight="1" x14ac:dyDescent="0.25">
      <c r="A124" s="6"/>
      <c r="B124" s="6"/>
      <c r="C124" s="6"/>
      <c r="D124" s="6"/>
      <c r="E124" s="7"/>
      <c r="F124" s="6"/>
      <c r="G124" s="6"/>
    </row>
    <row r="125" spans="1:7" ht="12.75" customHeight="1" x14ac:dyDescent="0.25">
      <c r="A125" s="6"/>
      <c r="B125" s="6"/>
      <c r="C125" s="6"/>
      <c r="D125" s="6"/>
      <c r="E125" s="7"/>
      <c r="F125" s="6"/>
      <c r="G125" s="6"/>
    </row>
    <row r="126" spans="1:7" ht="12.75" customHeight="1" x14ac:dyDescent="0.25">
      <c r="A126" s="6"/>
      <c r="B126" s="6"/>
      <c r="C126" s="6"/>
      <c r="D126" s="6"/>
      <c r="E126" s="7"/>
      <c r="F126" s="6"/>
      <c r="G126" s="6"/>
    </row>
    <row r="127" spans="1:7" ht="12.75" customHeight="1" x14ac:dyDescent="0.25">
      <c r="A127" s="6"/>
      <c r="B127" s="6"/>
      <c r="C127" s="6"/>
      <c r="D127" s="6"/>
      <c r="E127" s="7"/>
      <c r="F127" s="6"/>
      <c r="G127" s="6"/>
    </row>
    <row r="128" spans="1:7" ht="12.75" customHeight="1" x14ac:dyDescent="0.25">
      <c r="A128" s="6"/>
      <c r="B128" s="6"/>
      <c r="C128" s="6"/>
      <c r="D128" s="6"/>
      <c r="E128" s="7"/>
      <c r="F128" s="6"/>
      <c r="G128" s="6"/>
    </row>
    <row r="129" spans="1:7" ht="12.75" customHeight="1" x14ac:dyDescent="0.25">
      <c r="A129" s="6"/>
      <c r="B129" s="6"/>
      <c r="C129" s="6"/>
      <c r="D129" s="6"/>
      <c r="E129" s="7"/>
      <c r="F129" s="6"/>
      <c r="G129" s="6"/>
    </row>
    <row r="130" spans="1:7" ht="12.75" customHeight="1" x14ac:dyDescent="0.25">
      <c r="A130" s="6"/>
      <c r="B130" s="6"/>
      <c r="C130" s="6"/>
      <c r="D130" s="6"/>
      <c r="E130" s="7"/>
      <c r="F130" s="6"/>
      <c r="G130" s="6"/>
    </row>
    <row r="131" spans="1:7" ht="12.75" customHeight="1" x14ac:dyDescent="0.25">
      <c r="A131" s="6"/>
      <c r="B131" s="6"/>
      <c r="C131" s="6"/>
      <c r="D131" s="6"/>
      <c r="E131" s="7"/>
      <c r="F131" s="6"/>
      <c r="G131" s="6"/>
    </row>
    <row r="132" spans="1:7" ht="12.75" customHeight="1" x14ac:dyDescent="0.25">
      <c r="A132" s="6"/>
      <c r="B132" s="6"/>
      <c r="C132" s="6"/>
      <c r="D132" s="6"/>
      <c r="E132" s="7"/>
      <c r="F132" s="6"/>
      <c r="G132" s="6"/>
    </row>
    <row r="133" spans="1:7" ht="12.75" customHeight="1" x14ac:dyDescent="0.25">
      <c r="A133" s="6"/>
      <c r="B133" s="6"/>
      <c r="C133" s="6"/>
      <c r="D133" s="6"/>
      <c r="E133" s="7"/>
      <c r="F133" s="6"/>
      <c r="G133" s="6"/>
    </row>
    <row r="134" spans="1:7" ht="12.75" customHeight="1" x14ac:dyDescent="0.25">
      <c r="A134" s="6"/>
      <c r="B134" s="6"/>
      <c r="C134" s="6"/>
      <c r="D134" s="6"/>
      <c r="E134" s="7"/>
      <c r="F134" s="6"/>
      <c r="G134" s="6"/>
    </row>
    <row r="135" spans="1:7" ht="12.75" customHeight="1" x14ac:dyDescent="0.25">
      <c r="A135" s="6"/>
      <c r="B135" s="6"/>
      <c r="C135" s="6"/>
      <c r="D135" s="6"/>
      <c r="E135" s="7"/>
      <c r="F135" s="6"/>
      <c r="G135" s="6"/>
    </row>
    <row r="136" spans="1:7" ht="12.75" customHeight="1" x14ac:dyDescent="0.25">
      <c r="A136" s="6"/>
      <c r="B136" s="6"/>
      <c r="C136" s="6"/>
      <c r="D136" s="6"/>
      <c r="E136" s="7"/>
      <c r="F136" s="6"/>
      <c r="G136" s="6"/>
    </row>
    <row r="137" spans="1:7" ht="12.75" customHeight="1" x14ac:dyDescent="0.25">
      <c r="A137" s="6"/>
      <c r="B137" s="6"/>
      <c r="C137" s="6"/>
      <c r="D137" s="6"/>
      <c r="E137" s="7"/>
      <c r="F137" s="6"/>
      <c r="G137" s="6"/>
    </row>
    <row r="138" spans="1:7" ht="12.75" customHeight="1" x14ac:dyDescent="0.25">
      <c r="A138" s="6"/>
      <c r="B138" s="6"/>
      <c r="C138" s="6"/>
      <c r="D138" s="6"/>
      <c r="E138" s="7"/>
      <c r="F138" s="6"/>
      <c r="G138" s="6"/>
    </row>
    <row r="139" spans="1:7" ht="12.75" customHeight="1" x14ac:dyDescent="0.25">
      <c r="A139" s="6"/>
      <c r="B139" s="6"/>
      <c r="C139" s="6"/>
      <c r="D139" s="6"/>
      <c r="E139" s="7"/>
      <c r="F139" s="6"/>
      <c r="G139" s="6"/>
    </row>
    <row r="140" spans="1:7" ht="12.75" customHeight="1" x14ac:dyDescent="0.25">
      <c r="A140" s="6"/>
      <c r="B140" s="6"/>
      <c r="C140" s="6"/>
      <c r="D140" s="6"/>
      <c r="E140" s="7"/>
      <c r="F140" s="6"/>
      <c r="G140" s="6"/>
    </row>
    <row r="141" spans="1:7" ht="12.75" customHeight="1" x14ac:dyDescent="0.25">
      <c r="A141" s="6"/>
      <c r="B141" s="6"/>
      <c r="C141" s="6"/>
      <c r="D141" s="6"/>
      <c r="E141" s="7"/>
      <c r="F141" s="6"/>
      <c r="G141" s="6"/>
    </row>
    <row r="142" spans="1:7" ht="12.75" customHeight="1" x14ac:dyDescent="0.25">
      <c r="A142" s="6"/>
      <c r="B142" s="6"/>
      <c r="C142" s="6"/>
      <c r="D142" s="6"/>
      <c r="E142" s="7"/>
      <c r="F142" s="6"/>
      <c r="G142" s="6"/>
    </row>
    <row r="143" spans="1:7" ht="12.75" customHeight="1" x14ac:dyDescent="0.25">
      <c r="A143" s="6"/>
      <c r="B143" s="6"/>
      <c r="C143" s="6"/>
      <c r="D143" s="6"/>
      <c r="E143" s="7"/>
      <c r="F143" s="6"/>
      <c r="G143" s="6"/>
    </row>
    <row r="144" spans="1:7" ht="12.75" customHeight="1" x14ac:dyDescent="0.25">
      <c r="A144" s="6"/>
      <c r="B144" s="6"/>
      <c r="C144" s="6"/>
      <c r="D144" s="6"/>
      <c r="E144" s="7"/>
      <c r="F144" s="6"/>
      <c r="G144" s="6"/>
    </row>
    <row r="145" spans="1:7" ht="12.75" customHeight="1" x14ac:dyDescent="0.25">
      <c r="A145" s="6"/>
      <c r="B145" s="6"/>
      <c r="C145" s="6"/>
      <c r="D145" s="6"/>
      <c r="E145" s="7"/>
      <c r="F145" s="6"/>
      <c r="G145" s="6"/>
    </row>
    <row r="146" spans="1:7" ht="12.75" customHeight="1" x14ac:dyDescent="0.25">
      <c r="A146" s="6"/>
      <c r="B146" s="6"/>
      <c r="C146" s="6"/>
      <c r="D146" s="6"/>
      <c r="E146" s="7"/>
      <c r="F146" s="6"/>
      <c r="G146" s="6"/>
    </row>
    <row r="147" spans="1:7" ht="12.75" customHeight="1" x14ac:dyDescent="0.25">
      <c r="A147" s="6"/>
      <c r="B147" s="6"/>
      <c r="C147" s="6"/>
      <c r="D147" s="6"/>
      <c r="E147" s="7"/>
      <c r="F147" s="6"/>
      <c r="G147" s="6"/>
    </row>
    <row r="148" spans="1:7" ht="12.75" customHeight="1" x14ac:dyDescent="0.25">
      <c r="A148" s="6"/>
      <c r="B148" s="6"/>
      <c r="C148" s="6"/>
      <c r="D148" s="6"/>
      <c r="E148" s="7"/>
      <c r="F148" s="6"/>
      <c r="G148" s="6"/>
    </row>
    <row r="149" spans="1:7" ht="12.75" customHeight="1" x14ac:dyDescent="0.25">
      <c r="A149" s="6"/>
      <c r="B149" s="6"/>
      <c r="C149" s="6"/>
      <c r="D149" s="6"/>
      <c r="E149" s="7"/>
      <c r="F149" s="6"/>
      <c r="G149" s="6"/>
    </row>
    <row r="150" spans="1:7" ht="12.75" customHeight="1" x14ac:dyDescent="0.25">
      <c r="A150" s="6"/>
      <c r="B150" s="6"/>
      <c r="C150" s="6"/>
      <c r="D150" s="6"/>
      <c r="E150" s="7"/>
      <c r="F150" s="6"/>
      <c r="G150" s="6"/>
    </row>
    <row r="151" spans="1:7" ht="12.75" customHeight="1" x14ac:dyDescent="0.25">
      <c r="A151" s="6"/>
      <c r="B151" s="6"/>
      <c r="C151" s="6"/>
      <c r="D151" s="6"/>
      <c r="E151" s="7"/>
      <c r="F151" s="6"/>
      <c r="G151" s="6"/>
    </row>
    <row r="152" spans="1:7" ht="12.75" customHeight="1" x14ac:dyDescent="0.25">
      <c r="A152" s="6"/>
      <c r="B152" s="6"/>
      <c r="C152" s="6"/>
      <c r="D152" s="6"/>
      <c r="E152" s="7"/>
      <c r="F152" s="6"/>
      <c r="G152" s="6"/>
    </row>
    <row r="153" spans="1:7" ht="12.75" customHeight="1" x14ac:dyDescent="0.25">
      <c r="A153" s="6"/>
      <c r="B153" s="6"/>
      <c r="C153" s="6"/>
      <c r="D153" s="6"/>
      <c r="E153" s="7"/>
      <c r="F153" s="6"/>
      <c r="G153" s="6"/>
    </row>
    <row r="154" spans="1:7" ht="12.75" customHeight="1" x14ac:dyDescent="0.25">
      <c r="A154" s="6"/>
      <c r="B154" s="6"/>
      <c r="C154" s="6"/>
      <c r="D154" s="6"/>
      <c r="E154" s="7"/>
      <c r="F154" s="6"/>
      <c r="G154" s="6"/>
    </row>
    <row r="155" spans="1:7" ht="12.75" customHeight="1" x14ac:dyDescent="0.25">
      <c r="A155" s="6"/>
      <c r="B155" s="6"/>
      <c r="C155" s="6"/>
      <c r="D155" s="6"/>
      <c r="E155" s="7"/>
      <c r="F155" s="6"/>
      <c r="G155" s="6"/>
    </row>
    <row r="156" spans="1:7" ht="12.75" customHeight="1" x14ac:dyDescent="0.25">
      <c r="A156" s="6"/>
      <c r="B156" s="6"/>
      <c r="C156" s="6"/>
      <c r="D156" s="6"/>
      <c r="E156" s="7"/>
      <c r="F156" s="6"/>
      <c r="G156" s="6"/>
    </row>
    <row r="157" spans="1:7" ht="12.75" customHeight="1" x14ac:dyDescent="0.25">
      <c r="A157" s="6"/>
      <c r="B157" s="6"/>
      <c r="C157" s="6"/>
      <c r="D157" s="6"/>
      <c r="E157" s="7"/>
      <c r="F157" s="6"/>
      <c r="G157" s="6"/>
    </row>
    <row r="158" spans="1:7" ht="12.75" customHeight="1" x14ac:dyDescent="0.25">
      <c r="A158" s="6"/>
      <c r="B158" s="6"/>
      <c r="C158" s="6"/>
      <c r="D158" s="6"/>
      <c r="E158" s="7"/>
      <c r="F158" s="6"/>
      <c r="G158" s="6"/>
    </row>
    <row r="159" spans="1:7" ht="12.75" customHeight="1" x14ac:dyDescent="0.25">
      <c r="A159" s="6"/>
      <c r="B159" s="6"/>
      <c r="C159" s="6"/>
      <c r="D159" s="6"/>
      <c r="E159" s="7"/>
      <c r="F159" s="6"/>
      <c r="G159" s="6"/>
    </row>
    <row r="160" spans="1:7" ht="12.75" customHeight="1" x14ac:dyDescent="0.25">
      <c r="A160" s="6"/>
      <c r="B160" s="6"/>
      <c r="C160" s="6"/>
      <c r="D160" s="6"/>
      <c r="E160" s="7"/>
      <c r="F160" s="6"/>
      <c r="G160" s="6"/>
    </row>
    <row r="161" spans="1:7" ht="12.75" customHeight="1" x14ac:dyDescent="0.25">
      <c r="A161" s="6"/>
      <c r="B161" s="6"/>
      <c r="C161" s="6"/>
      <c r="D161" s="6"/>
      <c r="E161" s="7"/>
      <c r="F161" s="6"/>
      <c r="G161" s="6"/>
    </row>
    <row r="162" spans="1:7" ht="12.75" customHeight="1" x14ac:dyDescent="0.25">
      <c r="A162" s="6"/>
      <c r="B162" s="6"/>
      <c r="C162" s="6"/>
      <c r="D162" s="6"/>
      <c r="E162" s="7"/>
      <c r="F162" s="6"/>
      <c r="G162" s="6"/>
    </row>
    <row r="163" spans="1:7" ht="12.75" customHeight="1" x14ac:dyDescent="0.25">
      <c r="A163" s="6"/>
      <c r="B163" s="6"/>
      <c r="C163" s="6"/>
      <c r="D163" s="6"/>
      <c r="E163" s="7"/>
      <c r="F163" s="6"/>
      <c r="G163" s="6"/>
    </row>
    <row r="164" spans="1:7" ht="12.75" customHeight="1" x14ac:dyDescent="0.25">
      <c r="A164" s="6"/>
      <c r="B164" s="6"/>
      <c r="C164" s="6"/>
      <c r="D164" s="6"/>
      <c r="E164" s="7"/>
      <c r="F164" s="6"/>
      <c r="G164" s="6"/>
    </row>
    <row r="165" spans="1:7" ht="12.75" customHeight="1" x14ac:dyDescent="0.25">
      <c r="A165" s="6"/>
      <c r="B165" s="6"/>
      <c r="C165" s="6"/>
      <c r="D165" s="6"/>
      <c r="E165" s="7"/>
      <c r="F165" s="6"/>
      <c r="G165" s="6"/>
    </row>
    <row r="166" spans="1:7" ht="12.75" customHeight="1" x14ac:dyDescent="0.25">
      <c r="A166" s="6"/>
      <c r="B166" s="6"/>
      <c r="C166" s="6"/>
      <c r="D166" s="6"/>
      <c r="E166" s="7"/>
      <c r="F166" s="6"/>
      <c r="G166" s="6"/>
    </row>
    <row r="167" spans="1:7" ht="12.75" customHeight="1" x14ac:dyDescent="0.25">
      <c r="A167" s="6"/>
      <c r="B167" s="6"/>
      <c r="C167" s="6"/>
      <c r="D167" s="6"/>
      <c r="E167" s="7"/>
      <c r="F167" s="6"/>
      <c r="G167" s="6"/>
    </row>
    <row r="168" spans="1:7" ht="12.75" customHeight="1" x14ac:dyDescent="0.25">
      <c r="A168" s="6"/>
      <c r="B168" s="6"/>
      <c r="C168" s="6"/>
      <c r="D168" s="6"/>
      <c r="E168" s="7"/>
      <c r="F168" s="6"/>
      <c r="G168" s="6"/>
    </row>
    <row r="169" spans="1:7" ht="12.75" customHeight="1" x14ac:dyDescent="0.25">
      <c r="A169" s="6"/>
      <c r="B169" s="6"/>
      <c r="C169" s="6"/>
      <c r="D169" s="6"/>
      <c r="E169" s="7"/>
      <c r="F169" s="6"/>
      <c r="G169" s="6"/>
    </row>
    <row r="170" spans="1:7" ht="12.75" customHeight="1" x14ac:dyDescent="0.25">
      <c r="A170" s="6"/>
      <c r="B170" s="6"/>
      <c r="C170" s="6"/>
      <c r="D170" s="6"/>
      <c r="E170" s="7"/>
      <c r="F170" s="6"/>
      <c r="G170" s="6"/>
    </row>
    <row r="171" spans="1:7" ht="12.75" customHeight="1" x14ac:dyDescent="0.25">
      <c r="A171" s="6"/>
      <c r="B171" s="6"/>
      <c r="C171" s="6"/>
      <c r="D171" s="6"/>
      <c r="E171" s="7"/>
      <c r="F171" s="6"/>
      <c r="G171" s="6"/>
    </row>
    <row r="172" spans="1:7" ht="12.75" customHeight="1" x14ac:dyDescent="0.25">
      <c r="A172" s="6"/>
      <c r="B172" s="6"/>
      <c r="C172" s="6"/>
      <c r="D172" s="6"/>
      <c r="E172" s="7"/>
      <c r="F172" s="6"/>
      <c r="G172" s="6"/>
    </row>
    <row r="173" spans="1:7" ht="12.75" customHeight="1" x14ac:dyDescent="0.25">
      <c r="A173" s="6"/>
      <c r="B173" s="6"/>
      <c r="C173" s="6"/>
      <c r="D173" s="6"/>
      <c r="E173" s="7"/>
      <c r="F173" s="6"/>
      <c r="G173" s="6"/>
    </row>
    <row r="174" spans="1:7" ht="12.75" customHeight="1" x14ac:dyDescent="0.25">
      <c r="A174" s="6"/>
      <c r="B174" s="6"/>
      <c r="C174" s="6"/>
      <c r="D174" s="6"/>
      <c r="E174" s="7"/>
      <c r="F174" s="6"/>
      <c r="G174" s="6"/>
    </row>
    <row r="175" spans="1:7" ht="12.75" customHeight="1" x14ac:dyDescent="0.25">
      <c r="A175" s="6"/>
      <c r="B175" s="6"/>
      <c r="C175" s="6"/>
      <c r="D175" s="6"/>
      <c r="E175" s="7"/>
      <c r="F175" s="6"/>
      <c r="G175" s="6"/>
    </row>
    <row r="176" spans="1:7" ht="12.75" customHeight="1" x14ac:dyDescent="0.25">
      <c r="A176" s="6"/>
      <c r="B176" s="6"/>
      <c r="C176" s="6"/>
      <c r="D176" s="6"/>
      <c r="E176" s="7"/>
      <c r="F176" s="6"/>
      <c r="G176" s="6"/>
    </row>
    <row r="177" spans="1:7" ht="12.75" customHeight="1" x14ac:dyDescent="0.25">
      <c r="A177" s="6"/>
      <c r="B177" s="6"/>
      <c r="C177" s="6"/>
      <c r="D177" s="6"/>
      <c r="E177" s="7"/>
      <c r="F177" s="6"/>
      <c r="G177" s="6"/>
    </row>
    <row r="178" spans="1:7" ht="12.75" customHeight="1" x14ac:dyDescent="0.25">
      <c r="A178" s="6"/>
      <c r="B178" s="6"/>
      <c r="C178" s="6"/>
      <c r="D178" s="6"/>
      <c r="E178" s="7"/>
      <c r="F178" s="6"/>
      <c r="G178" s="6"/>
    </row>
    <row r="179" spans="1:7" ht="12.75" customHeight="1" x14ac:dyDescent="0.25">
      <c r="A179" s="6"/>
      <c r="B179" s="6"/>
      <c r="C179" s="6"/>
      <c r="D179" s="6"/>
      <c r="E179" s="7"/>
      <c r="F179" s="6"/>
      <c r="G179" s="6"/>
    </row>
    <row r="180" spans="1:7" ht="12.75" customHeight="1" x14ac:dyDescent="0.25">
      <c r="A180" s="6"/>
      <c r="B180" s="6"/>
      <c r="C180" s="6"/>
      <c r="D180" s="6"/>
      <c r="E180" s="7"/>
      <c r="F180" s="6"/>
      <c r="G180" s="6"/>
    </row>
    <row r="181" spans="1:7" ht="12.75" customHeight="1" x14ac:dyDescent="0.25">
      <c r="A181" s="6"/>
      <c r="B181" s="6"/>
      <c r="C181" s="6"/>
      <c r="D181" s="6"/>
      <c r="E181" s="7"/>
      <c r="F181" s="6"/>
      <c r="G181" s="6"/>
    </row>
    <row r="182" spans="1:7" ht="12.75" customHeight="1" x14ac:dyDescent="0.25">
      <c r="A182" s="6"/>
      <c r="B182" s="6"/>
      <c r="C182" s="6"/>
      <c r="D182" s="6"/>
      <c r="E182" s="7"/>
      <c r="F182" s="6"/>
      <c r="G182" s="6"/>
    </row>
    <row r="183" spans="1:7" ht="12.75" customHeight="1" x14ac:dyDescent="0.25">
      <c r="A183" s="6"/>
      <c r="B183" s="6"/>
      <c r="C183" s="6"/>
      <c r="D183" s="6"/>
      <c r="E183" s="7"/>
      <c r="F183" s="6"/>
      <c r="G183" s="6"/>
    </row>
    <row r="184" spans="1:7" ht="12.75" customHeight="1" x14ac:dyDescent="0.25">
      <c r="A184" s="6"/>
      <c r="B184" s="6"/>
      <c r="C184" s="6"/>
      <c r="D184" s="6"/>
      <c r="E184" s="7"/>
      <c r="F184" s="6"/>
      <c r="G184" s="6"/>
    </row>
    <row r="185" spans="1:7" ht="12.75" customHeight="1" x14ac:dyDescent="0.25">
      <c r="A185" s="6"/>
      <c r="B185" s="6"/>
      <c r="C185" s="6"/>
      <c r="D185" s="6"/>
      <c r="E185" s="7"/>
      <c r="F185" s="6"/>
      <c r="G185" s="6"/>
    </row>
    <row r="186" spans="1:7" ht="12.75" customHeight="1" x14ac:dyDescent="0.25">
      <c r="A186" s="6"/>
      <c r="B186" s="6"/>
      <c r="C186" s="6"/>
      <c r="D186" s="6"/>
      <c r="E186" s="7"/>
      <c r="F186" s="6"/>
      <c r="G186" s="6"/>
    </row>
    <row r="187" spans="1:7" ht="12.75" customHeight="1" x14ac:dyDescent="0.25">
      <c r="A187" s="6"/>
      <c r="B187" s="6"/>
      <c r="C187" s="6"/>
      <c r="D187" s="6"/>
      <c r="E187" s="7"/>
      <c r="F187" s="6"/>
      <c r="G187" s="6"/>
    </row>
    <row r="188" spans="1:7" ht="12.75" customHeight="1" x14ac:dyDescent="0.25">
      <c r="A188" s="6"/>
      <c r="B188" s="6"/>
      <c r="C188" s="6"/>
      <c r="D188" s="6"/>
      <c r="E188" s="7"/>
      <c r="F188" s="6"/>
      <c r="G188" s="6"/>
    </row>
    <row r="189" spans="1:7" ht="12.75" customHeight="1" x14ac:dyDescent="0.25">
      <c r="A189" s="6"/>
      <c r="B189" s="6"/>
      <c r="C189" s="6"/>
      <c r="D189" s="6"/>
      <c r="E189" s="7"/>
      <c r="F189" s="6"/>
      <c r="G189" s="6"/>
    </row>
    <row r="190" spans="1:7" ht="12.75" customHeight="1" x14ac:dyDescent="0.25">
      <c r="A190" s="6"/>
      <c r="B190" s="6"/>
      <c r="C190" s="6"/>
      <c r="D190" s="6"/>
      <c r="E190" s="7"/>
      <c r="F190" s="6"/>
      <c r="G190" s="6"/>
    </row>
    <row r="191" spans="1:7" ht="12.75" customHeight="1" x14ac:dyDescent="0.25">
      <c r="A191" s="6"/>
      <c r="B191" s="6"/>
      <c r="C191" s="6"/>
      <c r="D191" s="6"/>
      <c r="E191" s="7"/>
      <c r="F191" s="6"/>
      <c r="G191" s="6"/>
    </row>
    <row r="192" spans="1:7" ht="12.75" customHeight="1" x14ac:dyDescent="0.25">
      <c r="A192" s="6"/>
      <c r="B192" s="6"/>
      <c r="C192" s="6"/>
      <c r="D192" s="6"/>
      <c r="E192" s="7"/>
      <c r="F192" s="6"/>
      <c r="G192" s="6"/>
    </row>
    <row r="193" spans="1:7" ht="12.75" customHeight="1" x14ac:dyDescent="0.25">
      <c r="A193" s="6"/>
      <c r="B193" s="6"/>
      <c r="C193" s="6"/>
      <c r="D193" s="6"/>
      <c r="E193" s="7"/>
      <c r="F193" s="6"/>
      <c r="G193" s="6"/>
    </row>
    <row r="194" spans="1:7" ht="12.75" customHeight="1" x14ac:dyDescent="0.25">
      <c r="A194" s="6"/>
      <c r="B194" s="6"/>
      <c r="C194" s="6"/>
      <c r="D194" s="6"/>
      <c r="E194" s="7"/>
      <c r="F194" s="6"/>
      <c r="G194" s="6"/>
    </row>
    <row r="195" spans="1:7" ht="12.75" customHeight="1" x14ac:dyDescent="0.25">
      <c r="A195" s="6"/>
      <c r="B195" s="6"/>
      <c r="C195" s="6"/>
      <c r="D195" s="6"/>
      <c r="E195" s="7"/>
      <c r="F195" s="6"/>
      <c r="G195" s="6"/>
    </row>
    <row r="196" spans="1:7" ht="12.75" customHeight="1" x14ac:dyDescent="0.25">
      <c r="A196" s="6"/>
      <c r="B196" s="6"/>
      <c r="C196" s="6"/>
      <c r="D196" s="6"/>
      <c r="E196" s="7"/>
      <c r="F196" s="6"/>
      <c r="G196" s="6"/>
    </row>
    <row r="197" spans="1:7" ht="12.75" customHeight="1" x14ac:dyDescent="0.25">
      <c r="A197" s="6"/>
      <c r="B197" s="6"/>
      <c r="C197" s="6"/>
      <c r="D197" s="6"/>
      <c r="E197" s="7"/>
      <c r="F197" s="6"/>
      <c r="G197" s="6"/>
    </row>
    <row r="198" spans="1:7" ht="12.75" customHeight="1" x14ac:dyDescent="0.25">
      <c r="A198" s="6"/>
      <c r="B198" s="6"/>
      <c r="C198" s="6"/>
      <c r="D198" s="6"/>
      <c r="E198" s="7"/>
      <c r="F198" s="6"/>
      <c r="G198" s="6"/>
    </row>
    <row r="199" spans="1:7" ht="12.75" customHeight="1" x14ac:dyDescent="0.25">
      <c r="A199" s="6"/>
      <c r="B199" s="6"/>
      <c r="C199" s="6"/>
      <c r="D199" s="6"/>
      <c r="E199" s="7"/>
      <c r="F199" s="6"/>
      <c r="G199" s="6"/>
    </row>
    <row r="200" spans="1:7" ht="12.75" customHeight="1" x14ac:dyDescent="0.25">
      <c r="A200" s="6"/>
      <c r="B200" s="6"/>
      <c r="C200" s="6"/>
      <c r="D200" s="6"/>
      <c r="E200" s="7"/>
      <c r="F200" s="6"/>
      <c r="G200" s="6"/>
    </row>
    <row r="201" spans="1:7" ht="12.75" customHeight="1" x14ac:dyDescent="0.25">
      <c r="A201" s="6"/>
      <c r="B201" s="6"/>
      <c r="C201" s="6"/>
      <c r="D201" s="6"/>
      <c r="E201" s="7"/>
      <c r="F201" s="6"/>
      <c r="G201" s="6"/>
    </row>
    <row r="202" spans="1:7" ht="12.75" customHeight="1" x14ac:dyDescent="0.25">
      <c r="A202" s="6"/>
      <c r="B202" s="6"/>
      <c r="C202" s="6"/>
      <c r="D202" s="6"/>
      <c r="E202" s="7"/>
      <c r="F202" s="6"/>
      <c r="G202" s="6"/>
    </row>
    <row r="203" spans="1:7" ht="12.75" customHeight="1" x14ac:dyDescent="0.25">
      <c r="A203" s="6"/>
      <c r="B203" s="6"/>
      <c r="C203" s="6"/>
      <c r="D203" s="6"/>
      <c r="E203" s="7"/>
      <c r="F203" s="6"/>
      <c r="G203" s="6"/>
    </row>
    <row r="204" spans="1:7" ht="12.75" customHeight="1" x14ac:dyDescent="0.25">
      <c r="A204" s="6"/>
      <c r="B204" s="6"/>
      <c r="C204" s="6"/>
      <c r="D204" s="6"/>
      <c r="E204" s="7"/>
      <c r="F204" s="6"/>
      <c r="G204" s="6"/>
    </row>
    <row r="205" spans="1:7" ht="12.75" customHeight="1" x14ac:dyDescent="0.25">
      <c r="A205" s="6"/>
      <c r="B205" s="6"/>
      <c r="C205" s="6"/>
      <c r="D205" s="6"/>
      <c r="E205" s="7"/>
      <c r="F205" s="6"/>
      <c r="G205" s="6"/>
    </row>
    <row r="206" spans="1:7" ht="12.75" customHeight="1" x14ac:dyDescent="0.25">
      <c r="A206" s="6"/>
      <c r="B206" s="6"/>
      <c r="C206" s="6"/>
      <c r="D206" s="6"/>
      <c r="E206" s="7"/>
      <c r="F206" s="6"/>
      <c r="G206" s="6"/>
    </row>
    <row r="207" spans="1:7" ht="12.75" customHeight="1" x14ac:dyDescent="0.25">
      <c r="A207" s="6"/>
      <c r="B207" s="6"/>
      <c r="C207" s="6"/>
      <c r="D207" s="6"/>
      <c r="E207" s="7"/>
      <c r="F207" s="6"/>
      <c r="G207" s="6"/>
    </row>
    <row r="208" spans="1:7" ht="12.75" customHeight="1" x14ac:dyDescent="0.25">
      <c r="A208" s="6"/>
      <c r="B208" s="6"/>
      <c r="C208" s="6"/>
      <c r="D208" s="6"/>
      <c r="E208" s="7"/>
      <c r="F208" s="6"/>
      <c r="G208" s="6"/>
    </row>
    <row r="209" spans="1:7" ht="12.75" customHeight="1" x14ac:dyDescent="0.25">
      <c r="A209" s="6"/>
      <c r="B209" s="6"/>
      <c r="C209" s="6"/>
      <c r="D209" s="6"/>
      <c r="E209" s="7"/>
      <c r="F209" s="6"/>
      <c r="G209" s="6"/>
    </row>
    <row r="210" spans="1:7" ht="12.75" customHeight="1" x14ac:dyDescent="0.25">
      <c r="A210" s="6"/>
      <c r="B210" s="6"/>
      <c r="C210" s="6"/>
      <c r="D210" s="6"/>
      <c r="E210" s="7"/>
      <c r="F210" s="6"/>
      <c r="G210" s="6"/>
    </row>
    <row r="211" spans="1:7" ht="12.75" customHeight="1" x14ac:dyDescent="0.25">
      <c r="A211" s="6"/>
      <c r="B211" s="6"/>
      <c r="C211" s="6"/>
      <c r="D211" s="6"/>
      <c r="E211" s="7"/>
      <c r="F211" s="6"/>
      <c r="G211" s="6"/>
    </row>
    <row r="212" spans="1:7" ht="12.75" customHeight="1" x14ac:dyDescent="0.25">
      <c r="A212" s="6"/>
      <c r="B212" s="6"/>
      <c r="C212" s="6"/>
      <c r="D212" s="6"/>
      <c r="E212" s="7"/>
      <c r="F212" s="6"/>
      <c r="G212" s="6"/>
    </row>
    <row r="213" spans="1:7" ht="12.75" customHeight="1" x14ac:dyDescent="0.25">
      <c r="A213" s="6"/>
      <c r="B213" s="6"/>
      <c r="C213" s="6"/>
      <c r="D213" s="6"/>
      <c r="E213" s="7"/>
      <c r="F213" s="6"/>
      <c r="G213" s="6"/>
    </row>
    <row r="214" spans="1:7" ht="12.75" customHeight="1" x14ac:dyDescent="0.25">
      <c r="A214" s="6"/>
      <c r="B214" s="6"/>
      <c r="C214" s="6"/>
      <c r="D214" s="6"/>
      <c r="E214" s="7"/>
      <c r="F214" s="6"/>
      <c r="G214" s="6"/>
    </row>
    <row r="215" spans="1:7" ht="12.75" customHeight="1" x14ac:dyDescent="0.25">
      <c r="A215" s="6"/>
      <c r="B215" s="6"/>
      <c r="C215" s="6"/>
      <c r="D215" s="6"/>
      <c r="E215" s="7"/>
      <c r="F215" s="6"/>
      <c r="G215" s="6"/>
    </row>
    <row r="216" spans="1:7" ht="12.75" customHeight="1" x14ac:dyDescent="0.25">
      <c r="A216" s="6"/>
      <c r="B216" s="6"/>
      <c r="C216" s="6"/>
      <c r="D216" s="6"/>
      <c r="E216" s="7"/>
      <c r="F216" s="6"/>
      <c r="G216" s="6"/>
    </row>
    <row r="217" spans="1:7" ht="12.75" customHeight="1" x14ac:dyDescent="0.25">
      <c r="A217" s="6"/>
      <c r="B217" s="6"/>
      <c r="C217" s="6"/>
      <c r="D217" s="6"/>
      <c r="E217" s="7"/>
      <c r="F217" s="6"/>
      <c r="G217" s="6"/>
    </row>
    <row r="218" spans="1:7" ht="12.75" customHeight="1" x14ac:dyDescent="0.25">
      <c r="A218" s="6"/>
      <c r="B218" s="6"/>
      <c r="C218" s="6"/>
      <c r="D218" s="6"/>
      <c r="E218" s="7"/>
      <c r="F218" s="6"/>
      <c r="G218" s="6"/>
    </row>
    <row r="219" spans="1:7" ht="12.75" customHeight="1" x14ac:dyDescent="0.25">
      <c r="A219" s="6"/>
      <c r="B219" s="6"/>
      <c r="C219" s="6"/>
      <c r="D219" s="6"/>
      <c r="E219" s="7"/>
      <c r="F219" s="6"/>
      <c r="G219" s="6"/>
    </row>
    <row r="220" spans="1:7" ht="12.75" customHeight="1" x14ac:dyDescent="0.25">
      <c r="A220" s="6"/>
      <c r="B220" s="6"/>
      <c r="C220" s="6"/>
      <c r="D220" s="6"/>
      <c r="E220" s="7"/>
      <c r="F220" s="6"/>
      <c r="G220" s="6"/>
    </row>
    <row r="221" spans="1:7" ht="12.75" customHeight="1" x14ac:dyDescent="0.25">
      <c r="A221" s="6"/>
      <c r="B221" s="6"/>
      <c r="C221" s="6"/>
      <c r="D221" s="6"/>
      <c r="E221" s="7"/>
      <c r="F221" s="6"/>
      <c r="G221" s="6"/>
    </row>
    <row r="222" spans="1:7" ht="12.75" customHeight="1" x14ac:dyDescent="0.25">
      <c r="A222" s="6"/>
      <c r="B222" s="6"/>
      <c r="C222" s="6"/>
      <c r="D222" s="6"/>
      <c r="E222" s="7"/>
      <c r="F222" s="6"/>
      <c r="G222" s="6"/>
    </row>
    <row r="223" spans="1:7" ht="12.75" customHeight="1" x14ac:dyDescent="0.25">
      <c r="A223" s="6"/>
      <c r="B223" s="6"/>
      <c r="C223" s="6"/>
      <c r="D223" s="6"/>
      <c r="E223" s="7"/>
      <c r="F223" s="6"/>
      <c r="G223" s="6"/>
    </row>
    <row r="224" spans="1:7" ht="12.75" customHeight="1" x14ac:dyDescent="0.25">
      <c r="A224" s="6"/>
      <c r="B224" s="6"/>
      <c r="C224" s="6"/>
      <c r="D224" s="6"/>
      <c r="E224" s="7"/>
      <c r="F224" s="6"/>
      <c r="G224" s="6"/>
    </row>
    <row r="225" spans="1:7" ht="12.75" customHeight="1" x14ac:dyDescent="0.25">
      <c r="A225" s="6"/>
      <c r="B225" s="6"/>
      <c r="C225" s="6"/>
      <c r="D225" s="6"/>
      <c r="E225" s="7"/>
      <c r="F225" s="6"/>
      <c r="G225" s="6"/>
    </row>
    <row r="226" spans="1:7" ht="12.75" customHeight="1" x14ac:dyDescent="0.25">
      <c r="A226" s="6"/>
      <c r="B226" s="6"/>
      <c r="C226" s="6"/>
      <c r="D226" s="6"/>
      <c r="E226" s="7"/>
      <c r="F226" s="6"/>
      <c r="G226" s="6"/>
    </row>
    <row r="227" spans="1:7" ht="12.75" customHeight="1" x14ac:dyDescent="0.25">
      <c r="A227" s="6"/>
      <c r="B227" s="6"/>
      <c r="C227" s="6"/>
      <c r="D227" s="6"/>
      <c r="E227" s="7"/>
      <c r="F227" s="6"/>
      <c r="G227" s="6"/>
    </row>
    <row r="228" spans="1:7" ht="12.75" customHeight="1" x14ac:dyDescent="0.25">
      <c r="A228" s="6"/>
      <c r="B228" s="6"/>
      <c r="C228" s="6"/>
      <c r="D228" s="6"/>
      <c r="E228" s="7"/>
      <c r="F228" s="6"/>
      <c r="G228" s="6"/>
    </row>
    <row r="229" spans="1:7" ht="12.75" customHeight="1" x14ac:dyDescent="0.25">
      <c r="A229" s="6"/>
      <c r="B229" s="6"/>
      <c r="C229" s="6"/>
      <c r="D229" s="6"/>
      <c r="E229" s="7"/>
      <c r="F229" s="6"/>
      <c r="G229" s="6"/>
    </row>
    <row r="230" spans="1:7" ht="12.75" customHeight="1" x14ac:dyDescent="0.25">
      <c r="A230" s="6"/>
      <c r="B230" s="6"/>
      <c r="C230" s="6"/>
      <c r="D230" s="6"/>
      <c r="E230" s="7"/>
      <c r="F230" s="6"/>
      <c r="G230" s="6"/>
    </row>
    <row r="231" spans="1:7" ht="12.75" customHeight="1" x14ac:dyDescent="0.25">
      <c r="A231" s="6"/>
      <c r="B231" s="6"/>
      <c r="C231" s="6"/>
      <c r="D231" s="6"/>
      <c r="E231" s="7"/>
      <c r="F231" s="6"/>
      <c r="G231" s="6"/>
    </row>
    <row r="232" spans="1:7" ht="12.75" customHeight="1" x14ac:dyDescent="0.25">
      <c r="A232" s="6"/>
      <c r="B232" s="6"/>
      <c r="C232" s="6"/>
      <c r="D232" s="6"/>
      <c r="E232" s="7"/>
      <c r="F232" s="6"/>
      <c r="G232" s="6"/>
    </row>
    <row r="233" spans="1:7" ht="12.75" customHeight="1" x14ac:dyDescent="0.25">
      <c r="A233" s="6"/>
      <c r="B233" s="6"/>
      <c r="C233" s="6"/>
      <c r="D233" s="6"/>
      <c r="E233" s="7"/>
      <c r="F233" s="6"/>
      <c r="G233" s="6"/>
    </row>
    <row r="234" spans="1:7" ht="12.75" customHeight="1" x14ac:dyDescent="0.25">
      <c r="A234" s="6"/>
      <c r="B234" s="6"/>
      <c r="C234" s="6"/>
      <c r="D234" s="6"/>
      <c r="E234" s="7"/>
      <c r="F234" s="6"/>
      <c r="G234" s="6"/>
    </row>
    <row r="235" spans="1:7" ht="12.75" customHeight="1" x14ac:dyDescent="0.25">
      <c r="A235" s="6"/>
      <c r="B235" s="6"/>
      <c r="C235" s="6"/>
      <c r="D235" s="6"/>
      <c r="E235" s="7"/>
      <c r="F235" s="6"/>
      <c r="G235" s="6"/>
    </row>
    <row r="236" spans="1:7" ht="12.75" customHeight="1" x14ac:dyDescent="0.25">
      <c r="A236" s="6"/>
      <c r="B236" s="6"/>
      <c r="C236" s="6"/>
      <c r="D236" s="6"/>
      <c r="E236" s="7"/>
      <c r="F236" s="6"/>
      <c r="G236" s="6"/>
    </row>
    <row r="237" spans="1:7" ht="12.75" customHeight="1" x14ac:dyDescent="0.25">
      <c r="A237" s="6"/>
      <c r="B237" s="6"/>
      <c r="C237" s="6"/>
      <c r="D237" s="6"/>
      <c r="E237" s="7"/>
      <c r="F237" s="6"/>
      <c r="G237" s="6"/>
    </row>
    <row r="238" spans="1:7" ht="12.75" customHeight="1" x14ac:dyDescent="0.25">
      <c r="A238" s="6"/>
      <c r="B238" s="6"/>
      <c r="C238" s="6"/>
      <c r="D238" s="6"/>
      <c r="E238" s="7"/>
      <c r="F238" s="6"/>
      <c r="G238" s="6"/>
    </row>
    <row r="239" spans="1:7" ht="12.75" customHeight="1" x14ac:dyDescent="0.25">
      <c r="A239" s="6"/>
      <c r="B239" s="6"/>
      <c r="C239" s="6"/>
      <c r="D239" s="6"/>
      <c r="E239" s="7"/>
      <c r="F239" s="6"/>
      <c r="G239" s="6"/>
    </row>
    <row r="240" spans="1:7" ht="12.75" customHeight="1" x14ac:dyDescent="0.25">
      <c r="A240" s="6"/>
      <c r="B240" s="6"/>
      <c r="C240" s="6"/>
      <c r="D240" s="6"/>
      <c r="E240" s="7"/>
      <c r="F240" s="6"/>
      <c r="G240" s="6"/>
    </row>
    <row r="241" spans="1:7" ht="12.75" customHeight="1" x14ac:dyDescent="0.25">
      <c r="A241" s="6"/>
      <c r="B241" s="6"/>
      <c r="C241" s="6"/>
      <c r="D241" s="6"/>
      <c r="E241" s="7"/>
      <c r="F241" s="6"/>
      <c r="G241" s="6"/>
    </row>
    <row r="242" spans="1:7" ht="12.75" customHeight="1" x14ac:dyDescent="0.25">
      <c r="A242" s="6"/>
      <c r="B242" s="6"/>
      <c r="C242" s="6"/>
      <c r="D242" s="6"/>
      <c r="E242" s="7"/>
      <c r="F242" s="6"/>
      <c r="G242" s="6"/>
    </row>
    <row r="243" spans="1:7" ht="12.75" customHeight="1" x14ac:dyDescent="0.25">
      <c r="A243" s="6"/>
      <c r="B243" s="6"/>
      <c r="C243" s="6"/>
      <c r="D243" s="6"/>
      <c r="E243" s="7"/>
      <c r="F243" s="6"/>
      <c r="G243" s="6"/>
    </row>
    <row r="244" spans="1:7" ht="12.75" customHeight="1" x14ac:dyDescent="0.25">
      <c r="A244" s="6"/>
      <c r="B244" s="6"/>
      <c r="C244" s="6"/>
      <c r="D244" s="6"/>
      <c r="E244" s="7"/>
      <c r="F244" s="6"/>
      <c r="G244" s="6"/>
    </row>
    <row r="245" spans="1:7" ht="12.75" customHeight="1" x14ac:dyDescent="0.25">
      <c r="A245" s="6"/>
      <c r="B245" s="6"/>
      <c r="C245" s="6"/>
      <c r="D245" s="6"/>
      <c r="E245" s="7"/>
      <c r="F245" s="6"/>
      <c r="G245" s="6"/>
    </row>
    <row r="246" spans="1:7" ht="12.75" customHeight="1" x14ac:dyDescent="0.25">
      <c r="A246" s="6"/>
      <c r="B246" s="6"/>
      <c r="C246" s="6"/>
      <c r="D246" s="6"/>
      <c r="E246" s="7"/>
      <c r="F246" s="6"/>
      <c r="G246" s="6"/>
    </row>
    <row r="247" spans="1:7" ht="12.75" customHeight="1" x14ac:dyDescent="0.25">
      <c r="A247" s="6"/>
      <c r="B247" s="6"/>
      <c r="C247" s="6"/>
      <c r="D247" s="6"/>
      <c r="E247" s="7"/>
      <c r="F247" s="6"/>
      <c r="G247" s="6"/>
    </row>
    <row r="248" spans="1:7" ht="12.75" customHeight="1" x14ac:dyDescent="0.25">
      <c r="A248" s="6"/>
      <c r="B248" s="6"/>
      <c r="C248" s="6"/>
      <c r="D248" s="6"/>
      <c r="E248" s="7"/>
      <c r="F248" s="6"/>
      <c r="G248" s="6"/>
    </row>
    <row r="249" spans="1:7" ht="12.75" customHeight="1" x14ac:dyDescent="0.25">
      <c r="A249" s="6"/>
      <c r="B249" s="6"/>
      <c r="C249" s="6"/>
      <c r="D249" s="6"/>
      <c r="E249" s="7"/>
      <c r="F249" s="6"/>
      <c r="G249" s="6"/>
    </row>
    <row r="250" spans="1:7" ht="12.75" customHeight="1" x14ac:dyDescent="0.25">
      <c r="A250" s="6"/>
      <c r="B250" s="6"/>
      <c r="C250" s="6"/>
      <c r="D250" s="6"/>
      <c r="E250" s="7"/>
      <c r="F250" s="6"/>
      <c r="G250" s="6"/>
    </row>
    <row r="251" spans="1:7" ht="12.75" customHeight="1" x14ac:dyDescent="0.25">
      <c r="A251" s="6"/>
      <c r="B251" s="6"/>
      <c r="C251" s="6"/>
      <c r="D251" s="6"/>
      <c r="E251" s="7"/>
      <c r="F251" s="6"/>
      <c r="G251" s="6"/>
    </row>
    <row r="252" spans="1:7" ht="12.75" customHeight="1" x14ac:dyDescent="0.25">
      <c r="A252" s="6"/>
      <c r="B252" s="6"/>
      <c r="C252" s="6"/>
      <c r="D252" s="6"/>
      <c r="E252" s="7"/>
      <c r="F252" s="6"/>
      <c r="G252" s="6"/>
    </row>
    <row r="253" spans="1:7" ht="12.75" customHeight="1" x14ac:dyDescent="0.25">
      <c r="A253" s="6"/>
      <c r="B253" s="6"/>
      <c r="C253" s="6"/>
      <c r="D253" s="6"/>
      <c r="E253" s="7"/>
      <c r="F253" s="6"/>
      <c r="G253" s="6"/>
    </row>
    <row r="254" spans="1:7" ht="12.75" customHeight="1" x14ac:dyDescent="0.25">
      <c r="A254" s="6"/>
      <c r="B254" s="6"/>
      <c r="C254" s="6"/>
      <c r="D254" s="6"/>
      <c r="E254" s="7"/>
      <c r="F254" s="6"/>
      <c r="G254" s="6"/>
    </row>
    <row r="255" spans="1:7" ht="12.75" customHeight="1" x14ac:dyDescent="0.25">
      <c r="A255" s="6"/>
      <c r="B255" s="6"/>
      <c r="C255" s="6"/>
      <c r="D255" s="6"/>
      <c r="E255" s="7"/>
      <c r="F255" s="6"/>
      <c r="G255" s="6"/>
    </row>
    <row r="256" spans="1:7" ht="12.75" customHeight="1" x14ac:dyDescent="0.25">
      <c r="A256" s="6"/>
      <c r="B256" s="6"/>
      <c r="C256" s="6"/>
      <c r="D256" s="6"/>
      <c r="E256" s="7"/>
      <c r="F256" s="6"/>
      <c r="G256" s="6"/>
    </row>
    <row r="257" spans="1:7" ht="12.75" customHeight="1" x14ac:dyDescent="0.25">
      <c r="A257" s="6"/>
      <c r="B257" s="6"/>
      <c r="C257" s="6"/>
      <c r="D257" s="6"/>
      <c r="E257" s="7"/>
      <c r="F257" s="6"/>
      <c r="G257" s="6"/>
    </row>
    <row r="258" spans="1:7" ht="12.75" customHeight="1" x14ac:dyDescent="0.25">
      <c r="A258" s="6"/>
      <c r="B258" s="6"/>
      <c r="C258" s="6"/>
      <c r="D258" s="6"/>
      <c r="E258" s="7"/>
      <c r="F258" s="6"/>
      <c r="G258" s="6"/>
    </row>
    <row r="259" spans="1:7" ht="12.75" customHeight="1" x14ac:dyDescent="0.25">
      <c r="A259" s="6"/>
      <c r="B259" s="6"/>
      <c r="C259" s="6"/>
      <c r="D259" s="6"/>
      <c r="E259" s="7"/>
      <c r="F259" s="6"/>
      <c r="G259" s="6"/>
    </row>
    <row r="260" spans="1:7" ht="12.75" customHeight="1" x14ac:dyDescent="0.25">
      <c r="A260" s="6"/>
      <c r="B260" s="6"/>
      <c r="C260" s="6"/>
      <c r="D260" s="6"/>
      <c r="E260" s="7"/>
      <c r="F260" s="6"/>
      <c r="G260" s="6"/>
    </row>
    <row r="261" spans="1:7" ht="12.75" customHeight="1" x14ac:dyDescent="0.25">
      <c r="A261" s="6"/>
      <c r="B261" s="6"/>
      <c r="C261" s="6"/>
      <c r="D261" s="6"/>
      <c r="E261" s="7"/>
      <c r="F261" s="6"/>
      <c r="G261" s="6"/>
    </row>
    <row r="262" spans="1:7" ht="12.75" customHeight="1" x14ac:dyDescent="0.25">
      <c r="A262" s="6"/>
      <c r="B262" s="6"/>
      <c r="C262" s="6"/>
      <c r="D262" s="6"/>
      <c r="E262" s="7"/>
      <c r="F262" s="6"/>
      <c r="G262" s="6"/>
    </row>
    <row r="263" spans="1:7" ht="12.75" customHeight="1" x14ac:dyDescent="0.25">
      <c r="A263" s="6"/>
      <c r="B263" s="6"/>
      <c r="C263" s="6"/>
      <c r="D263" s="6"/>
      <c r="E263" s="7"/>
      <c r="F263" s="6"/>
      <c r="G263" s="6"/>
    </row>
    <row r="264" spans="1:7" ht="12.75" customHeight="1" x14ac:dyDescent="0.25">
      <c r="A264" s="6"/>
      <c r="B264" s="6"/>
      <c r="C264" s="6"/>
      <c r="D264" s="6"/>
      <c r="E264" s="7"/>
      <c r="F264" s="6"/>
      <c r="G264" s="6"/>
    </row>
    <row r="265" spans="1:7" ht="12.75" customHeight="1" x14ac:dyDescent="0.25">
      <c r="A265" s="6"/>
      <c r="B265" s="6"/>
      <c r="C265" s="6"/>
      <c r="D265" s="6"/>
      <c r="E265" s="7"/>
      <c r="F265" s="6"/>
      <c r="G265" s="6"/>
    </row>
    <row r="266" spans="1:7" ht="12.75" customHeight="1" x14ac:dyDescent="0.25">
      <c r="A266" s="6"/>
      <c r="B266" s="6"/>
      <c r="C266" s="6"/>
      <c r="D266" s="6"/>
      <c r="E266" s="7"/>
      <c r="F266" s="6"/>
      <c r="G266" s="6"/>
    </row>
    <row r="267" spans="1:7" ht="12.75" customHeight="1" x14ac:dyDescent="0.25">
      <c r="A267" s="6"/>
      <c r="B267" s="6"/>
      <c r="C267" s="6"/>
      <c r="D267" s="6"/>
      <c r="E267" s="7"/>
      <c r="F267" s="6"/>
      <c r="G267" s="6"/>
    </row>
    <row r="268" spans="1:7" ht="12.75" customHeight="1" x14ac:dyDescent="0.25">
      <c r="A268" s="6"/>
      <c r="B268" s="6"/>
      <c r="C268" s="6"/>
      <c r="D268" s="6"/>
      <c r="E268" s="7"/>
      <c r="F268" s="6"/>
      <c r="G268" s="6"/>
    </row>
    <row r="269" spans="1:7" ht="12.75" customHeight="1" x14ac:dyDescent="0.25">
      <c r="A269" s="6"/>
      <c r="B269" s="6"/>
      <c r="C269" s="6"/>
      <c r="D269" s="6"/>
      <c r="E269" s="7"/>
      <c r="F269" s="6"/>
      <c r="G269" s="6"/>
    </row>
    <row r="270" spans="1:7" ht="12.75" customHeight="1" x14ac:dyDescent="0.25">
      <c r="A270" s="6"/>
      <c r="B270" s="6"/>
      <c r="C270" s="6"/>
      <c r="D270" s="6"/>
      <c r="E270" s="7"/>
      <c r="F270" s="6"/>
      <c r="G270" s="6"/>
    </row>
    <row r="271" spans="1:7" ht="12.75" customHeight="1" x14ac:dyDescent="0.25">
      <c r="A271" s="6"/>
      <c r="B271" s="6"/>
      <c r="C271" s="6"/>
      <c r="D271" s="6"/>
      <c r="E271" s="7"/>
      <c r="F271" s="6"/>
      <c r="G271" s="6"/>
    </row>
    <row r="272" spans="1:7" ht="12.75" customHeight="1" x14ac:dyDescent="0.25">
      <c r="A272" s="6"/>
      <c r="B272" s="6"/>
      <c r="C272" s="6"/>
      <c r="D272" s="6"/>
      <c r="E272" s="7"/>
      <c r="F272" s="6"/>
      <c r="G272" s="6"/>
    </row>
    <row r="273" spans="1:7" ht="12.75" customHeight="1" x14ac:dyDescent="0.25">
      <c r="A273" s="6"/>
      <c r="B273" s="6"/>
      <c r="C273" s="6"/>
      <c r="D273" s="6"/>
      <c r="E273" s="7"/>
      <c r="F273" s="6"/>
      <c r="G273" s="6"/>
    </row>
    <row r="274" spans="1:7" ht="12.75" customHeight="1" x14ac:dyDescent="0.25">
      <c r="A274" s="6"/>
      <c r="B274" s="6"/>
      <c r="C274" s="6"/>
      <c r="D274" s="6"/>
      <c r="E274" s="7"/>
      <c r="F274" s="6"/>
      <c r="G274" s="6"/>
    </row>
    <row r="275" spans="1:7" ht="12.75" customHeight="1" x14ac:dyDescent="0.25">
      <c r="A275" s="6"/>
      <c r="B275" s="6"/>
      <c r="C275" s="6"/>
      <c r="D275" s="6"/>
      <c r="E275" s="7"/>
      <c r="F275" s="6"/>
      <c r="G275" s="6"/>
    </row>
    <row r="276" spans="1:7" ht="12.75" customHeight="1" x14ac:dyDescent="0.25">
      <c r="A276" s="6"/>
      <c r="B276" s="6"/>
      <c r="C276" s="6"/>
      <c r="D276" s="6"/>
      <c r="E276" s="7"/>
      <c r="F276" s="6"/>
      <c r="G276" s="6"/>
    </row>
    <row r="277" spans="1:7" ht="12.75" customHeight="1" x14ac:dyDescent="0.25">
      <c r="A277" s="6"/>
      <c r="B277" s="6"/>
      <c r="C277" s="6"/>
      <c r="D277" s="6"/>
      <c r="E277" s="7"/>
      <c r="F277" s="6"/>
      <c r="G277" s="6"/>
    </row>
    <row r="278" spans="1:7" ht="12.75" customHeight="1" x14ac:dyDescent="0.25">
      <c r="A278" s="6"/>
      <c r="B278" s="6"/>
      <c r="C278" s="6"/>
      <c r="D278" s="6"/>
      <c r="E278" s="7"/>
      <c r="F278" s="6"/>
      <c r="G278" s="6"/>
    </row>
    <row r="279" spans="1:7" ht="12.75" customHeight="1" x14ac:dyDescent="0.25">
      <c r="A279" s="6"/>
      <c r="B279" s="6"/>
      <c r="C279" s="6"/>
      <c r="D279" s="6"/>
      <c r="E279" s="7"/>
      <c r="F279" s="6"/>
      <c r="G279" s="6"/>
    </row>
    <row r="280" spans="1:7" ht="12.75" customHeight="1" x14ac:dyDescent="0.25">
      <c r="A280" s="6"/>
      <c r="B280" s="6"/>
      <c r="C280" s="6"/>
      <c r="D280" s="6"/>
      <c r="E280" s="7"/>
      <c r="F280" s="6"/>
      <c r="G280" s="6"/>
    </row>
    <row r="281" spans="1:7" ht="12.75" customHeight="1" x14ac:dyDescent="0.25">
      <c r="A281" s="6"/>
      <c r="B281" s="6"/>
      <c r="C281" s="6"/>
      <c r="D281" s="6"/>
      <c r="E281" s="7"/>
      <c r="F281" s="6"/>
      <c r="G281" s="6"/>
    </row>
    <row r="282" spans="1:7" ht="12.75" customHeight="1" x14ac:dyDescent="0.25">
      <c r="A282" s="6"/>
      <c r="B282" s="6"/>
      <c r="C282" s="6"/>
      <c r="D282" s="6"/>
      <c r="E282" s="7"/>
      <c r="F282" s="6"/>
      <c r="G282" s="6"/>
    </row>
    <row r="283" spans="1:7" ht="12.75" customHeight="1" x14ac:dyDescent="0.25">
      <c r="A283" s="6"/>
      <c r="B283" s="6"/>
      <c r="C283" s="6"/>
      <c r="D283" s="6"/>
      <c r="E283" s="7"/>
      <c r="F283" s="6"/>
      <c r="G283" s="6"/>
    </row>
    <row r="284" spans="1:7" ht="12.75" customHeight="1" x14ac:dyDescent="0.25">
      <c r="A284" s="6"/>
      <c r="B284" s="6"/>
      <c r="C284" s="6"/>
      <c r="D284" s="6"/>
      <c r="E284" s="7"/>
      <c r="F284" s="6"/>
      <c r="G284" s="6"/>
    </row>
    <row r="285" spans="1:7" ht="12.75" customHeight="1" x14ac:dyDescent="0.25">
      <c r="A285" s="6"/>
      <c r="B285" s="6"/>
      <c r="C285" s="6"/>
      <c r="D285" s="6"/>
      <c r="E285" s="7"/>
      <c r="F285" s="6"/>
      <c r="G285" s="6"/>
    </row>
    <row r="286" spans="1:7" ht="12.75" customHeight="1" x14ac:dyDescent="0.25">
      <c r="A286" s="6"/>
      <c r="B286" s="6"/>
      <c r="C286" s="6"/>
      <c r="D286" s="6"/>
      <c r="E286" s="7"/>
      <c r="F286" s="6"/>
      <c r="G286" s="6"/>
    </row>
    <row r="287" spans="1:7" ht="12.75" customHeight="1" x14ac:dyDescent="0.25">
      <c r="A287" s="6"/>
      <c r="B287" s="6"/>
      <c r="C287" s="6"/>
      <c r="D287" s="6"/>
      <c r="E287" s="7"/>
      <c r="F287" s="6"/>
      <c r="G287" s="6"/>
    </row>
    <row r="288" spans="1:7" ht="12.75" customHeight="1" x14ac:dyDescent="0.25">
      <c r="A288" s="6"/>
      <c r="B288" s="6"/>
      <c r="C288" s="6"/>
      <c r="D288" s="6"/>
      <c r="E288" s="7"/>
      <c r="F288" s="6"/>
      <c r="G288" s="6"/>
    </row>
    <row r="289" spans="1:7" ht="12.75" customHeight="1" x14ac:dyDescent="0.25">
      <c r="A289" s="6"/>
      <c r="B289" s="6"/>
      <c r="C289" s="6"/>
      <c r="D289" s="6"/>
      <c r="E289" s="7"/>
      <c r="F289" s="6"/>
      <c r="G289" s="6"/>
    </row>
    <row r="290" spans="1:7" ht="12.75" customHeight="1" x14ac:dyDescent="0.25">
      <c r="A290" s="6"/>
      <c r="B290" s="6"/>
      <c r="C290" s="6"/>
      <c r="D290" s="6"/>
      <c r="E290" s="7"/>
      <c r="F290" s="6"/>
      <c r="G290" s="6"/>
    </row>
    <row r="291" spans="1:7" ht="12.75" customHeight="1" x14ac:dyDescent="0.25">
      <c r="A291" s="6"/>
      <c r="B291" s="6"/>
      <c r="C291" s="6"/>
      <c r="D291" s="6"/>
      <c r="E291" s="7"/>
      <c r="F291" s="6"/>
      <c r="G291" s="6"/>
    </row>
    <row r="292" spans="1:7" ht="12.75" customHeight="1" x14ac:dyDescent="0.25">
      <c r="A292" s="6"/>
      <c r="B292" s="6"/>
      <c r="C292" s="6"/>
      <c r="D292" s="6"/>
      <c r="E292" s="7"/>
      <c r="F292" s="6"/>
      <c r="G292" s="6"/>
    </row>
    <row r="293" spans="1:7" ht="12.75" customHeight="1" x14ac:dyDescent="0.25">
      <c r="A293" s="6"/>
      <c r="B293" s="6"/>
      <c r="C293" s="6"/>
      <c r="D293" s="6"/>
      <c r="E293" s="7"/>
      <c r="F293" s="6"/>
      <c r="G293" s="6"/>
    </row>
    <row r="294" spans="1:7" ht="12.75" customHeight="1" x14ac:dyDescent="0.25">
      <c r="A294" s="6"/>
      <c r="B294" s="6"/>
      <c r="C294" s="6"/>
      <c r="D294" s="6"/>
      <c r="E294" s="7"/>
      <c r="F294" s="6"/>
      <c r="G294" s="6"/>
    </row>
    <row r="295" spans="1:7" ht="12.75" customHeight="1" x14ac:dyDescent="0.25">
      <c r="A295" s="6"/>
      <c r="B295" s="6"/>
      <c r="C295" s="6"/>
      <c r="D295" s="6"/>
      <c r="E295" s="7"/>
      <c r="F295" s="6"/>
      <c r="G295" s="6"/>
    </row>
    <row r="296" spans="1:7" ht="12.75" customHeight="1" x14ac:dyDescent="0.25">
      <c r="A296" s="6"/>
      <c r="B296" s="6"/>
      <c r="C296" s="6"/>
      <c r="D296" s="6"/>
      <c r="E296" s="7"/>
      <c r="F296" s="6"/>
      <c r="G296" s="6"/>
    </row>
    <row r="297" spans="1:7" ht="12.75" customHeight="1" x14ac:dyDescent="0.25">
      <c r="A297" s="6"/>
      <c r="B297" s="6"/>
      <c r="C297" s="6"/>
      <c r="D297" s="6"/>
      <c r="E297" s="7"/>
      <c r="F297" s="6"/>
      <c r="G297" s="6"/>
    </row>
    <row r="298" spans="1:7" ht="12.75" customHeight="1" x14ac:dyDescent="0.25">
      <c r="A298" s="6"/>
      <c r="B298" s="6"/>
      <c r="C298" s="6"/>
      <c r="D298" s="6"/>
      <c r="E298" s="7"/>
      <c r="F298" s="6"/>
      <c r="G298" s="6"/>
    </row>
    <row r="299" spans="1:7" ht="12.75" customHeight="1" x14ac:dyDescent="0.25">
      <c r="A299" s="6"/>
      <c r="B299" s="6"/>
      <c r="C299" s="6"/>
      <c r="D299" s="6"/>
      <c r="E299" s="7"/>
      <c r="F299" s="6"/>
      <c r="G299" s="6"/>
    </row>
    <row r="300" spans="1:7" ht="12.75" customHeight="1" x14ac:dyDescent="0.25">
      <c r="A300" s="6"/>
      <c r="B300" s="6"/>
      <c r="C300" s="6"/>
      <c r="D300" s="6"/>
      <c r="E300" s="7"/>
      <c r="F300" s="6"/>
      <c r="G300" s="6"/>
    </row>
    <row r="301" spans="1:7" ht="12.75" customHeight="1" x14ac:dyDescent="0.25">
      <c r="A301" s="6"/>
      <c r="B301" s="6"/>
      <c r="C301" s="6"/>
      <c r="D301" s="6"/>
      <c r="E301" s="7"/>
      <c r="F301" s="6"/>
      <c r="G301" s="6"/>
    </row>
    <row r="302" spans="1:7" ht="12.75" customHeight="1" x14ac:dyDescent="0.25">
      <c r="A302" s="6"/>
      <c r="B302" s="6"/>
      <c r="C302" s="6"/>
      <c r="D302" s="6"/>
      <c r="E302" s="7"/>
      <c r="F302" s="6"/>
      <c r="G302" s="6"/>
    </row>
    <row r="303" spans="1:7" ht="12.75" customHeight="1" x14ac:dyDescent="0.25">
      <c r="A303" s="6"/>
      <c r="B303" s="6"/>
      <c r="C303" s="6"/>
      <c r="D303" s="6"/>
      <c r="E303" s="7"/>
      <c r="F303" s="6"/>
      <c r="G303" s="6"/>
    </row>
    <row r="304" spans="1:7" ht="12.75" customHeight="1" x14ac:dyDescent="0.25">
      <c r="A304" s="6"/>
      <c r="B304" s="6"/>
      <c r="C304" s="6"/>
      <c r="D304" s="6"/>
      <c r="E304" s="7"/>
      <c r="F304" s="6"/>
      <c r="G304" s="6"/>
    </row>
    <row r="305" spans="1:7" ht="12.75" customHeight="1" x14ac:dyDescent="0.25">
      <c r="A305" s="6"/>
      <c r="B305" s="6"/>
      <c r="C305" s="6"/>
      <c r="D305" s="6"/>
      <c r="E305" s="7"/>
      <c r="F305" s="6"/>
      <c r="G305" s="6"/>
    </row>
    <row r="306" spans="1:7" ht="12.75" customHeight="1" x14ac:dyDescent="0.25">
      <c r="A306" s="6"/>
      <c r="B306" s="6"/>
      <c r="C306" s="6"/>
      <c r="D306" s="6"/>
      <c r="E306" s="7"/>
      <c r="F306" s="6"/>
      <c r="G306" s="6"/>
    </row>
    <row r="307" spans="1:7" ht="12.75" customHeight="1" x14ac:dyDescent="0.25">
      <c r="A307" s="6"/>
      <c r="B307" s="6"/>
      <c r="C307" s="6"/>
      <c r="D307" s="6"/>
      <c r="E307" s="7"/>
      <c r="F307" s="6"/>
      <c r="G307" s="6"/>
    </row>
    <row r="308" spans="1:7" ht="12.75" customHeight="1" x14ac:dyDescent="0.25">
      <c r="A308" s="6"/>
      <c r="B308" s="6"/>
      <c r="C308" s="6"/>
      <c r="D308" s="6"/>
      <c r="E308" s="7"/>
      <c r="F308" s="6"/>
      <c r="G308" s="6"/>
    </row>
    <row r="309" spans="1:7" ht="12.75" customHeight="1" x14ac:dyDescent="0.25">
      <c r="A309" s="6"/>
      <c r="B309" s="6"/>
      <c r="C309" s="6"/>
      <c r="D309" s="6"/>
      <c r="E309" s="7"/>
      <c r="F309" s="6"/>
      <c r="G309" s="6"/>
    </row>
    <row r="310" spans="1:7" ht="12.75" customHeight="1" x14ac:dyDescent="0.25">
      <c r="A310" s="6"/>
      <c r="B310" s="6"/>
      <c r="C310" s="6"/>
      <c r="D310" s="6"/>
      <c r="E310" s="7"/>
      <c r="F310" s="6"/>
      <c r="G310" s="6"/>
    </row>
    <row r="311" spans="1:7" ht="12.75" customHeight="1" x14ac:dyDescent="0.25">
      <c r="A311" s="6"/>
      <c r="B311" s="6"/>
      <c r="C311" s="6"/>
      <c r="D311" s="6"/>
      <c r="E311" s="7"/>
      <c r="F311" s="6"/>
      <c r="G311" s="6"/>
    </row>
    <row r="312" spans="1:7" ht="12.75" customHeight="1" x14ac:dyDescent="0.25">
      <c r="A312" s="6"/>
      <c r="B312" s="6"/>
      <c r="C312" s="6"/>
      <c r="D312" s="6"/>
      <c r="E312" s="7"/>
      <c r="F312" s="6"/>
      <c r="G312" s="6"/>
    </row>
    <row r="313" spans="1:7" ht="12.75" customHeight="1" x14ac:dyDescent="0.25">
      <c r="A313" s="6"/>
      <c r="B313" s="6"/>
      <c r="C313" s="6"/>
      <c r="D313" s="6"/>
      <c r="E313" s="7"/>
      <c r="F313" s="6"/>
      <c r="G313" s="6"/>
    </row>
    <row r="314" spans="1:7" ht="12.75" customHeight="1" x14ac:dyDescent="0.25">
      <c r="A314" s="6"/>
      <c r="B314" s="6"/>
      <c r="C314" s="6"/>
      <c r="D314" s="6"/>
      <c r="E314" s="7"/>
      <c r="F314" s="6"/>
      <c r="G314" s="6"/>
    </row>
    <row r="315" spans="1:7" ht="12.75" customHeight="1" x14ac:dyDescent="0.25">
      <c r="A315" s="6"/>
      <c r="B315" s="6"/>
      <c r="C315" s="6"/>
      <c r="D315" s="6"/>
      <c r="E315" s="7"/>
      <c r="F315" s="6"/>
      <c r="G315" s="6"/>
    </row>
    <row r="316" spans="1:7" ht="12.75" customHeight="1" x14ac:dyDescent="0.25">
      <c r="A316" s="6"/>
      <c r="B316" s="6"/>
      <c r="C316" s="6"/>
      <c r="D316" s="6"/>
      <c r="E316" s="7"/>
      <c r="F316" s="6"/>
      <c r="G316" s="6"/>
    </row>
    <row r="317" spans="1:7" ht="12.75" customHeight="1" x14ac:dyDescent="0.25">
      <c r="A317" s="6"/>
      <c r="B317" s="6"/>
      <c r="C317" s="6"/>
      <c r="D317" s="6"/>
      <c r="E317" s="7"/>
      <c r="F317" s="6"/>
      <c r="G317" s="6"/>
    </row>
    <row r="318" spans="1:7" ht="12.75" customHeight="1" x14ac:dyDescent="0.25">
      <c r="A318" s="6"/>
      <c r="B318" s="6"/>
      <c r="C318" s="6"/>
      <c r="D318" s="6"/>
      <c r="E318" s="7"/>
      <c r="F318" s="6"/>
      <c r="G318" s="6"/>
    </row>
    <row r="319" spans="1:7" ht="12.75" customHeight="1" x14ac:dyDescent="0.25">
      <c r="A319" s="6"/>
      <c r="B319" s="6"/>
      <c r="C319" s="6"/>
      <c r="D319" s="6"/>
      <c r="E319" s="7"/>
      <c r="F319" s="6"/>
      <c r="G319" s="6"/>
    </row>
    <row r="320" spans="1:7" ht="12.75" customHeight="1" x14ac:dyDescent="0.25">
      <c r="A320" s="6"/>
      <c r="B320" s="6"/>
      <c r="C320" s="6"/>
      <c r="D320" s="6"/>
      <c r="E320" s="7"/>
      <c r="F320" s="6"/>
      <c r="G320" s="6"/>
    </row>
    <row r="321" spans="1:7" ht="12.75" customHeight="1" x14ac:dyDescent="0.25">
      <c r="A321" s="6"/>
      <c r="B321" s="6"/>
      <c r="C321" s="6"/>
      <c r="D321" s="6"/>
      <c r="E321" s="7"/>
      <c r="F321" s="6"/>
      <c r="G321" s="6"/>
    </row>
    <row r="322" spans="1:7" ht="12.75" customHeight="1" x14ac:dyDescent="0.25">
      <c r="A322" s="6"/>
      <c r="B322" s="6"/>
      <c r="C322" s="6"/>
      <c r="D322" s="6"/>
      <c r="E322" s="7"/>
      <c r="F322" s="6"/>
      <c r="G322" s="6"/>
    </row>
    <row r="323" spans="1:7" ht="12.75" customHeight="1" x14ac:dyDescent="0.25">
      <c r="A323" s="6"/>
      <c r="B323" s="6"/>
      <c r="C323" s="6"/>
      <c r="D323" s="6"/>
      <c r="E323" s="7"/>
      <c r="F323" s="6"/>
      <c r="G323" s="6"/>
    </row>
    <row r="324" spans="1:7" ht="12.75" customHeight="1" x14ac:dyDescent="0.25">
      <c r="A324" s="6"/>
      <c r="B324" s="6"/>
      <c r="C324" s="6"/>
      <c r="D324" s="6"/>
      <c r="E324" s="7"/>
      <c r="F324" s="6"/>
      <c r="G324" s="6"/>
    </row>
    <row r="325" spans="1:7" ht="12.75" customHeight="1" x14ac:dyDescent="0.25">
      <c r="A325" s="6"/>
      <c r="B325" s="6"/>
      <c r="C325" s="6"/>
      <c r="D325" s="6"/>
      <c r="E325" s="7"/>
      <c r="F325" s="6"/>
      <c r="G325" s="6"/>
    </row>
    <row r="326" spans="1:7" ht="12.75" customHeight="1" x14ac:dyDescent="0.25">
      <c r="A326" s="6"/>
      <c r="B326" s="6"/>
      <c r="C326" s="6"/>
      <c r="D326" s="6"/>
      <c r="E326" s="7"/>
      <c r="F326" s="6"/>
      <c r="G326" s="6"/>
    </row>
    <row r="327" spans="1:7" ht="12.75" customHeight="1" x14ac:dyDescent="0.25">
      <c r="A327" s="6"/>
      <c r="B327" s="6"/>
      <c r="C327" s="6"/>
      <c r="D327" s="6"/>
      <c r="E327" s="7"/>
      <c r="F327" s="6"/>
      <c r="G327" s="6"/>
    </row>
    <row r="328" spans="1:7" ht="12.75" customHeight="1" x14ac:dyDescent="0.25">
      <c r="A328" s="6"/>
      <c r="B328" s="6"/>
      <c r="C328" s="6"/>
      <c r="D328" s="6"/>
      <c r="E328" s="7"/>
      <c r="F328" s="6"/>
      <c r="G328" s="6"/>
    </row>
    <row r="329" spans="1:7" ht="12.75" customHeight="1" x14ac:dyDescent="0.25">
      <c r="A329" s="6"/>
      <c r="B329" s="6"/>
      <c r="C329" s="6"/>
      <c r="D329" s="6"/>
      <c r="E329" s="7"/>
      <c r="F329" s="6"/>
      <c r="G329" s="6"/>
    </row>
    <row r="330" spans="1:7" ht="12.75" customHeight="1" x14ac:dyDescent="0.25">
      <c r="A330" s="6"/>
      <c r="B330" s="6"/>
      <c r="C330" s="6"/>
      <c r="D330" s="6"/>
      <c r="E330" s="7"/>
      <c r="F330" s="6"/>
      <c r="G330" s="6"/>
    </row>
    <row r="331" spans="1:7" ht="12.75" customHeight="1" x14ac:dyDescent="0.25">
      <c r="A331" s="6"/>
      <c r="B331" s="6"/>
      <c r="C331" s="6"/>
      <c r="D331" s="6"/>
      <c r="E331" s="7"/>
      <c r="F331" s="6"/>
      <c r="G331" s="6"/>
    </row>
    <row r="332" spans="1:7" ht="12.75" customHeight="1" x14ac:dyDescent="0.25">
      <c r="A332" s="6"/>
      <c r="B332" s="6"/>
      <c r="C332" s="6"/>
      <c r="D332" s="6"/>
      <c r="E332" s="7"/>
      <c r="F332" s="6"/>
      <c r="G332" s="6"/>
    </row>
    <row r="333" spans="1:7" ht="12.75" customHeight="1" x14ac:dyDescent="0.25">
      <c r="A333" s="6"/>
      <c r="B333" s="6"/>
      <c r="C333" s="6"/>
      <c r="D333" s="6"/>
      <c r="E333" s="7"/>
      <c r="F333" s="6"/>
      <c r="G333" s="6"/>
    </row>
    <row r="334" spans="1:7" ht="12.75" customHeight="1" x14ac:dyDescent="0.25">
      <c r="A334" s="6"/>
      <c r="B334" s="6"/>
      <c r="C334" s="6"/>
      <c r="D334" s="6"/>
      <c r="E334" s="7"/>
      <c r="F334" s="6"/>
      <c r="G334" s="6"/>
    </row>
    <row r="335" spans="1:7" ht="12.75" customHeight="1" x14ac:dyDescent="0.25">
      <c r="A335" s="6"/>
      <c r="B335" s="6"/>
      <c r="C335" s="6"/>
      <c r="D335" s="6"/>
      <c r="E335" s="7"/>
      <c r="F335" s="6"/>
      <c r="G335" s="6"/>
    </row>
    <row r="336" spans="1:7" ht="12.75" customHeight="1" x14ac:dyDescent="0.25">
      <c r="A336" s="6"/>
      <c r="B336" s="6"/>
      <c r="C336" s="6"/>
      <c r="D336" s="6"/>
      <c r="E336" s="7"/>
      <c r="F336" s="6"/>
      <c r="G336" s="6"/>
    </row>
    <row r="337" spans="1:7" ht="12.75" customHeight="1" x14ac:dyDescent="0.25">
      <c r="A337" s="6"/>
      <c r="B337" s="6"/>
      <c r="C337" s="6"/>
      <c r="D337" s="6"/>
      <c r="E337" s="7"/>
      <c r="F337" s="6"/>
      <c r="G337" s="6"/>
    </row>
    <row r="338" spans="1:7" ht="12.75" customHeight="1" x14ac:dyDescent="0.25">
      <c r="A338" s="6"/>
      <c r="B338" s="6"/>
      <c r="C338" s="6"/>
      <c r="D338" s="6"/>
      <c r="E338" s="7"/>
      <c r="F338" s="6"/>
      <c r="G338" s="6"/>
    </row>
    <row r="339" spans="1:7" ht="12.75" customHeight="1" x14ac:dyDescent="0.25">
      <c r="A339" s="6"/>
      <c r="B339" s="6"/>
      <c r="C339" s="6"/>
      <c r="D339" s="6"/>
      <c r="E339" s="7"/>
      <c r="F339" s="6"/>
      <c r="G339" s="6"/>
    </row>
    <row r="340" spans="1:7" ht="12.75" customHeight="1" x14ac:dyDescent="0.25">
      <c r="A340" s="6"/>
      <c r="B340" s="6"/>
      <c r="C340" s="6"/>
      <c r="D340" s="6"/>
      <c r="E340" s="7"/>
      <c r="F340" s="6"/>
      <c r="G340" s="6"/>
    </row>
    <row r="341" spans="1:7" ht="12.75" customHeight="1" x14ac:dyDescent="0.25">
      <c r="A341" s="6"/>
      <c r="B341" s="6"/>
      <c r="C341" s="6"/>
      <c r="D341" s="6"/>
      <c r="E341" s="7"/>
      <c r="F341" s="6"/>
      <c r="G341" s="6"/>
    </row>
    <row r="342" spans="1:7" ht="12.75" customHeight="1" x14ac:dyDescent="0.25">
      <c r="A342" s="6"/>
      <c r="B342" s="6"/>
      <c r="C342" s="6"/>
      <c r="D342" s="6"/>
      <c r="E342" s="7"/>
      <c r="F342" s="6"/>
      <c r="G342" s="6"/>
    </row>
    <row r="343" spans="1:7" ht="12.75" customHeight="1" x14ac:dyDescent="0.25">
      <c r="A343" s="6"/>
      <c r="B343" s="6"/>
      <c r="C343" s="6"/>
      <c r="D343" s="6"/>
      <c r="E343" s="7"/>
      <c r="F343" s="6"/>
      <c r="G343" s="6"/>
    </row>
    <row r="344" spans="1:7" ht="12.75" customHeight="1" x14ac:dyDescent="0.25">
      <c r="A344" s="6"/>
      <c r="B344" s="6"/>
      <c r="C344" s="6"/>
      <c r="D344" s="6"/>
      <c r="E344" s="7"/>
      <c r="F344" s="6"/>
      <c r="G344" s="6"/>
    </row>
    <row r="345" spans="1:7" ht="12.75" customHeight="1" x14ac:dyDescent="0.25">
      <c r="A345" s="6"/>
      <c r="B345" s="6"/>
      <c r="C345" s="6"/>
      <c r="D345" s="6"/>
      <c r="E345" s="7"/>
      <c r="F345" s="6"/>
      <c r="G345" s="6"/>
    </row>
    <row r="346" spans="1:7" ht="12.75" customHeight="1" x14ac:dyDescent="0.25">
      <c r="A346" s="6"/>
      <c r="B346" s="6"/>
      <c r="C346" s="6"/>
      <c r="D346" s="6"/>
      <c r="E346" s="7"/>
      <c r="F346" s="6"/>
      <c r="G346" s="6"/>
    </row>
    <row r="347" spans="1:7" ht="12.75" customHeight="1" x14ac:dyDescent="0.25">
      <c r="A347" s="6"/>
      <c r="B347" s="6"/>
      <c r="C347" s="6"/>
      <c r="D347" s="6"/>
      <c r="E347" s="7"/>
      <c r="F347" s="6"/>
      <c r="G347" s="6"/>
    </row>
    <row r="348" spans="1:7" ht="12.75" customHeight="1" x14ac:dyDescent="0.25">
      <c r="A348" s="6"/>
      <c r="B348" s="6"/>
      <c r="C348" s="6"/>
      <c r="D348" s="6"/>
      <c r="E348" s="7"/>
      <c r="F348" s="6"/>
      <c r="G348" s="6"/>
    </row>
    <row r="349" spans="1:7" ht="12.75" customHeight="1" x14ac:dyDescent="0.25">
      <c r="A349" s="6"/>
      <c r="B349" s="6"/>
      <c r="C349" s="6"/>
      <c r="D349" s="6"/>
      <c r="E349" s="7"/>
      <c r="F349" s="6"/>
      <c r="G349" s="6"/>
    </row>
    <row r="350" spans="1:7" ht="12.75" customHeight="1" x14ac:dyDescent="0.25">
      <c r="A350" s="6"/>
      <c r="B350" s="6"/>
      <c r="C350" s="6"/>
      <c r="D350" s="6"/>
      <c r="E350" s="7"/>
      <c r="F350" s="6"/>
      <c r="G350" s="6"/>
    </row>
    <row r="351" spans="1:7" ht="12.75" customHeight="1" x14ac:dyDescent="0.25">
      <c r="A351" s="6"/>
      <c r="B351" s="6"/>
      <c r="C351" s="6"/>
      <c r="D351" s="6"/>
      <c r="E351" s="7"/>
      <c r="F351" s="6"/>
      <c r="G351" s="6"/>
    </row>
    <row r="352" spans="1:7" ht="12.75" customHeight="1" x14ac:dyDescent="0.25">
      <c r="A352" s="6"/>
      <c r="B352" s="6"/>
      <c r="C352" s="6"/>
      <c r="D352" s="6"/>
      <c r="E352" s="7"/>
      <c r="F352" s="6"/>
      <c r="G352" s="6"/>
    </row>
    <row r="353" spans="1:7" ht="12.75" customHeight="1" x14ac:dyDescent="0.25">
      <c r="A353" s="6"/>
      <c r="B353" s="6"/>
      <c r="C353" s="6"/>
      <c r="D353" s="6"/>
      <c r="E353" s="7"/>
      <c r="F353" s="6"/>
      <c r="G353" s="6"/>
    </row>
    <row r="354" spans="1:7" ht="12.75" customHeight="1" x14ac:dyDescent="0.25">
      <c r="A354" s="6"/>
      <c r="B354" s="6"/>
      <c r="C354" s="6"/>
      <c r="D354" s="6"/>
      <c r="E354" s="7"/>
      <c r="F354" s="6"/>
      <c r="G354" s="6"/>
    </row>
    <row r="355" spans="1:7" ht="12.75" customHeight="1" x14ac:dyDescent="0.25">
      <c r="A355" s="6"/>
      <c r="B355" s="6"/>
      <c r="C355" s="6"/>
      <c r="D355" s="6"/>
      <c r="E355" s="7"/>
      <c r="F355" s="6"/>
      <c r="G355" s="6"/>
    </row>
    <row r="356" spans="1:7" ht="12.75" customHeight="1" x14ac:dyDescent="0.25">
      <c r="A356" s="6"/>
      <c r="B356" s="6"/>
      <c r="C356" s="6"/>
      <c r="D356" s="6"/>
      <c r="E356" s="7"/>
      <c r="F356" s="6"/>
      <c r="G356" s="6"/>
    </row>
    <row r="357" spans="1:7" ht="12.75" customHeight="1" x14ac:dyDescent="0.25">
      <c r="A357" s="6"/>
      <c r="B357" s="6"/>
      <c r="C357" s="6"/>
      <c r="D357" s="6"/>
      <c r="E357" s="7"/>
      <c r="F357" s="6"/>
      <c r="G357" s="6"/>
    </row>
    <row r="358" spans="1:7" ht="12.75" customHeight="1" x14ac:dyDescent="0.25">
      <c r="A358" s="6"/>
      <c r="B358" s="6"/>
      <c r="C358" s="6"/>
      <c r="D358" s="6"/>
      <c r="E358" s="7"/>
      <c r="F358" s="6"/>
      <c r="G358" s="6"/>
    </row>
    <row r="359" spans="1:7" ht="12.75" customHeight="1" x14ac:dyDescent="0.25">
      <c r="A359" s="6"/>
      <c r="B359" s="6"/>
      <c r="C359" s="6"/>
      <c r="D359" s="6"/>
      <c r="E359" s="7"/>
      <c r="F359" s="6"/>
      <c r="G359" s="6"/>
    </row>
    <row r="360" spans="1:7" ht="12.75" customHeight="1" x14ac:dyDescent="0.25">
      <c r="A360" s="6"/>
      <c r="B360" s="6"/>
      <c r="C360" s="6"/>
      <c r="D360" s="6"/>
      <c r="E360" s="7"/>
      <c r="F360" s="6"/>
      <c r="G360" s="6"/>
    </row>
    <row r="361" spans="1:7" ht="12.75" customHeight="1" x14ac:dyDescent="0.25">
      <c r="A361" s="6"/>
      <c r="B361" s="6"/>
      <c r="C361" s="6"/>
      <c r="D361" s="6"/>
      <c r="E361" s="7"/>
      <c r="F361" s="6"/>
      <c r="G361" s="6"/>
    </row>
    <row r="362" spans="1:7" ht="12.75" customHeight="1" x14ac:dyDescent="0.25">
      <c r="A362" s="6"/>
      <c r="B362" s="6"/>
      <c r="C362" s="6"/>
      <c r="D362" s="6"/>
      <c r="E362" s="7"/>
      <c r="F362" s="6"/>
      <c r="G362" s="6"/>
    </row>
    <row r="363" spans="1:7" ht="12.75" customHeight="1" x14ac:dyDescent="0.25">
      <c r="A363" s="6"/>
      <c r="B363" s="6"/>
      <c r="C363" s="6"/>
      <c r="D363" s="6"/>
      <c r="E363" s="7"/>
      <c r="F363" s="6"/>
      <c r="G363" s="6"/>
    </row>
    <row r="364" spans="1:7" ht="12.75" customHeight="1" x14ac:dyDescent="0.25">
      <c r="A364" s="6"/>
      <c r="B364" s="6"/>
      <c r="C364" s="6"/>
      <c r="D364" s="6"/>
      <c r="E364" s="7"/>
      <c r="F364" s="6"/>
      <c r="G364" s="6"/>
    </row>
    <row r="365" spans="1:7" ht="12.75" customHeight="1" x14ac:dyDescent="0.25">
      <c r="A365" s="6"/>
      <c r="B365" s="6"/>
      <c r="C365" s="6"/>
      <c r="D365" s="6"/>
      <c r="E365" s="7"/>
      <c r="F365" s="6"/>
      <c r="G365" s="6"/>
    </row>
    <row r="366" spans="1:7" ht="12.75" customHeight="1" x14ac:dyDescent="0.25">
      <c r="A366" s="6"/>
      <c r="B366" s="6"/>
      <c r="C366" s="6"/>
      <c r="D366" s="6"/>
      <c r="E366" s="7"/>
      <c r="F366" s="6"/>
      <c r="G366" s="6"/>
    </row>
    <row r="367" spans="1:7" ht="12.75" customHeight="1" x14ac:dyDescent="0.25">
      <c r="A367" s="6"/>
      <c r="B367" s="6"/>
      <c r="C367" s="6"/>
      <c r="D367" s="6"/>
      <c r="E367" s="7"/>
      <c r="F367" s="6"/>
      <c r="G367" s="6"/>
    </row>
    <row r="368" spans="1:7" ht="12.75" customHeight="1" x14ac:dyDescent="0.25">
      <c r="A368" s="6"/>
      <c r="B368" s="6"/>
      <c r="C368" s="6"/>
      <c r="D368" s="6"/>
      <c r="E368" s="7"/>
      <c r="F368" s="6"/>
      <c r="G368" s="6"/>
    </row>
    <row r="369" spans="1:7" ht="12.75" customHeight="1" x14ac:dyDescent="0.25">
      <c r="A369" s="6"/>
      <c r="B369" s="6"/>
      <c r="C369" s="6"/>
      <c r="D369" s="6"/>
      <c r="E369" s="7"/>
      <c r="F369" s="6"/>
      <c r="G369" s="6"/>
    </row>
    <row r="370" spans="1:7" ht="12.75" customHeight="1" x14ac:dyDescent="0.25">
      <c r="A370" s="6"/>
      <c r="B370" s="6"/>
      <c r="C370" s="6"/>
      <c r="D370" s="6"/>
      <c r="E370" s="7"/>
      <c r="F370" s="6"/>
      <c r="G370" s="6"/>
    </row>
    <row r="371" spans="1:7" ht="12.75" customHeight="1" x14ac:dyDescent="0.25">
      <c r="A371" s="6"/>
      <c r="B371" s="6"/>
      <c r="C371" s="6"/>
      <c r="D371" s="6"/>
      <c r="E371" s="7"/>
      <c r="F371" s="6"/>
      <c r="G371" s="6"/>
    </row>
    <row r="372" spans="1:7" ht="12.75" customHeight="1" x14ac:dyDescent="0.25">
      <c r="A372" s="6"/>
      <c r="B372" s="6"/>
      <c r="C372" s="6"/>
      <c r="D372" s="6"/>
      <c r="E372" s="7"/>
      <c r="F372" s="6"/>
      <c r="G372" s="6"/>
    </row>
    <row r="373" spans="1:7" ht="12.75" customHeight="1" x14ac:dyDescent="0.25">
      <c r="A373" s="6"/>
      <c r="B373" s="6"/>
      <c r="C373" s="6"/>
      <c r="D373" s="6"/>
      <c r="E373" s="7"/>
      <c r="F373" s="6"/>
      <c r="G373" s="6"/>
    </row>
    <row r="374" spans="1:7" ht="12.75" customHeight="1" x14ac:dyDescent="0.25">
      <c r="A374" s="6"/>
      <c r="B374" s="6"/>
      <c r="C374" s="6"/>
      <c r="D374" s="6"/>
      <c r="E374" s="7"/>
      <c r="F374" s="6"/>
      <c r="G374" s="6"/>
    </row>
    <row r="375" spans="1:7" ht="12.75" customHeight="1" x14ac:dyDescent="0.25">
      <c r="A375" s="6"/>
      <c r="B375" s="6"/>
      <c r="C375" s="6"/>
      <c r="D375" s="6"/>
      <c r="E375" s="7"/>
      <c r="F375" s="6"/>
      <c r="G375" s="6"/>
    </row>
    <row r="376" spans="1:7" ht="12.75" customHeight="1" x14ac:dyDescent="0.25">
      <c r="A376" s="6"/>
      <c r="B376" s="6"/>
      <c r="C376" s="6"/>
      <c r="D376" s="6"/>
      <c r="E376" s="7"/>
      <c r="F376" s="6"/>
      <c r="G376" s="6"/>
    </row>
    <row r="377" spans="1:7" ht="12.75" customHeight="1" x14ac:dyDescent="0.25">
      <c r="A377" s="6"/>
      <c r="B377" s="6"/>
      <c r="C377" s="6"/>
      <c r="D377" s="6"/>
      <c r="E377" s="7"/>
      <c r="F377" s="6"/>
      <c r="G377" s="6"/>
    </row>
    <row r="378" spans="1:7" ht="12.75" customHeight="1" x14ac:dyDescent="0.25">
      <c r="A378" s="6"/>
      <c r="B378" s="6"/>
      <c r="C378" s="6"/>
      <c r="D378" s="6"/>
      <c r="E378" s="7"/>
      <c r="F378" s="6"/>
      <c r="G378" s="6"/>
    </row>
    <row r="379" spans="1:7" ht="12.75" customHeight="1" x14ac:dyDescent="0.25">
      <c r="A379" s="6"/>
      <c r="B379" s="6"/>
      <c r="C379" s="6"/>
      <c r="D379" s="6"/>
      <c r="E379" s="7"/>
      <c r="F379" s="6"/>
      <c r="G379" s="6"/>
    </row>
    <row r="380" spans="1:7" ht="12.75" customHeight="1" x14ac:dyDescent="0.25">
      <c r="A380" s="6"/>
      <c r="B380" s="6"/>
      <c r="C380" s="6"/>
      <c r="D380" s="6"/>
      <c r="E380" s="7"/>
      <c r="F380" s="6"/>
      <c r="G380" s="6"/>
    </row>
    <row r="381" spans="1:7" ht="12.75" customHeight="1" x14ac:dyDescent="0.25">
      <c r="A381" s="6"/>
      <c r="B381" s="6"/>
      <c r="C381" s="6"/>
      <c r="D381" s="6"/>
      <c r="E381" s="7"/>
      <c r="F381" s="6"/>
      <c r="G381" s="6"/>
    </row>
    <row r="382" spans="1:7" ht="12.75" customHeight="1" x14ac:dyDescent="0.25">
      <c r="A382" s="6"/>
      <c r="B382" s="6"/>
      <c r="C382" s="6"/>
      <c r="D382" s="6"/>
      <c r="E382" s="7"/>
      <c r="F382" s="6"/>
      <c r="G382" s="6"/>
    </row>
    <row r="383" spans="1:7" ht="12.75" customHeight="1" x14ac:dyDescent="0.25">
      <c r="A383" s="6"/>
      <c r="B383" s="6"/>
      <c r="C383" s="6"/>
      <c r="D383" s="6"/>
      <c r="E383" s="7"/>
      <c r="F383" s="6"/>
      <c r="G383" s="6"/>
    </row>
    <row r="384" spans="1:7" ht="12.75" customHeight="1" x14ac:dyDescent="0.25">
      <c r="A384" s="6"/>
      <c r="B384" s="6"/>
      <c r="C384" s="6"/>
      <c r="D384" s="6"/>
      <c r="E384" s="7"/>
      <c r="F384" s="6"/>
      <c r="G384" s="6"/>
    </row>
    <row r="385" spans="1:7" ht="12.75" customHeight="1" x14ac:dyDescent="0.25">
      <c r="A385" s="6"/>
      <c r="B385" s="6"/>
      <c r="C385" s="6"/>
      <c r="D385" s="6"/>
      <c r="E385" s="7"/>
      <c r="F385" s="6"/>
      <c r="G385" s="6"/>
    </row>
    <row r="386" spans="1:7" ht="12.75" customHeight="1" x14ac:dyDescent="0.25">
      <c r="A386" s="6"/>
      <c r="B386" s="6"/>
      <c r="C386" s="6"/>
      <c r="D386" s="6"/>
      <c r="E386" s="7"/>
      <c r="F386" s="6"/>
      <c r="G386" s="6"/>
    </row>
    <row r="387" spans="1:7" ht="12.75" customHeight="1" x14ac:dyDescent="0.25">
      <c r="A387" s="6"/>
      <c r="B387" s="6"/>
      <c r="C387" s="6"/>
      <c r="D387" s="6"/>
      <c r="E387" s="7"/>
      <c r="F387" s="6"/>
      <c r="G387" s="6"/>
    </row>
    <row r="388" spans="1:7" ht="12.75" customHeight="1" x14ac:dyDescent="0.25">
      <c r="A388" s="6"/>
      <c r="B388" s="6"/>
      <c r="C388" s="6"/>
      <c r="D388" s="6"/>
      <c r="E388" s="7"/>
      <c r="F388" s="6"/>
      <c r="G388" s="6"/>
    </row>
    <row r="389" spans="1:7" ht="12.75" customHeight="1" x14ac:dyDescent="0.25">
      <c r="A389" s="6"/>
      <c r="B389" s="6"/>
      <c r="C389" s="6"/>
      <c r="D389" s="6"/>
      <c r="E389" s="7"/>
      <c r="F389" s="6"/>
      <c r="G389" s="6"/>
    </row>
    <row r="390" spans="1:7" ht="12.75" customHeight="1" x14ac:dyDescent="0.25">
      <c r="A390" s="6"/>
      <c r="B390" s="6"/>
      <c r="C390" s="6"/>
      <c r="D390" s="6"/>
      <c r="E390" s="7"/>
      <c r="F390" s="6"/>
      <c r="G390" s="6"/>
    </row>
    <row r="391" spans="1:7" ht="12.75" customHeight="1" x14ac:dyDescent="0.25">
      <c r="A391" s="6"/>
      <c r="B391" s="6"/>
      <c r="C391" s="6"/>
      <c r="D391" s="6"/>
      <c r="E391" s="7"/>
      <c r="F391" s="6"/>
      <c r="G391" s="6"/>
    </row>
    <row r="392" spans="1:7" ht="12.75" customHeight="1" x14ac:dyDescent="0.25">
      <c r="A392" s="6"/>
      <c r="B392" s="6"/>
      <c r="C392" s="6"/>
      <c r="D392" s="6"/>
      <c r="E392" s="7"/>
      <c r="F392" s="6"/>
      <c r="G392" s="6"/>
    </row>
    <row r="393" spans="1:7" ht="12.75" customHeight="1" x14ac:dyDescent="0.25">
      <c r="A393" s="6"/>
      <c r="B393" s="6"/>
      <c r="C393" s="6"/>
      <c r="D393" s="6"/>
      <c r="E393" s="7"/>
      <c r="F393" s="6"/>
      <c r="G393" s="6"/>
    </row>
    <row r="394" spans="1:7" ht="12.75" customHeight="1" x14ac:dyDescent="0.25">
      <c r="A394" s="6"/>
      <c r="B394" s="6"/>
      <c r="C394" s="6"/>
      <c r="D394" s="6"/>
      <c r="E394" s="7"/>
      <c r="F394" s="6"/>
      <c r="G394" s="6"/>
    </row>
    <row r="395" spans="1:7" ht="12.75" customHeight="1" x14ac:dyDescent="0.25">
      <c r="A395" s="6"/>
      <c r="B395" s="6"/>
      <c r="C395" s="6"/>
      <c r="D395" s="6"/>
      <c r="E395" s="7"/>
      <c r="F395" s="6"/>
      <c r="G395" s="6"/>
    </row>
    <row r="396" spans="1:7" ht="12.75" customHeight="1" x14ac:dyDescent="0.25">
      <c r="A396" s="6"/>
      <c r="B396" s="6"/>
      <c r="C396" s="6"/>
      <c r="D396" s="6"/>
      <c r="E396" s="7"/>
      <c r="F396" s="6"/>
      <c r="G396" s="6"/>
    </row>
    <row r="397" spans="1:7" ht="12.75" customHeight="1" x14ac:dyDescent="0.25">
      <c r="A397" s="6"/>
      <c r="B397" s="6"/>
      <c r="C397" s="6"/>
      <c r="D397" s="6"/>
      <c r="E397" s="7"/>
      <c r="F397" s="6"/>
      <c r="G397" s="6"/>
    </row>
    <row r="398" spans="1:7" ht="12.75" customHeight="1" x14ac:dyDescent="0.25">
      <c r="A398" s="6"/>
      <c r="B398" s="6"/>
      <c r="C398" s="6"/>
      <c r="D398" s="6"/>
      <c r="E398" s="7"/>
      <c r="F398" s="6"/>
      <c r="G398" s="6"/>
    </row>
    <row r="399" spans="1:7" ht="12.75" customHeight="1" x14ac:dyDescent="0.25">
      <c r="A399" s="6"/>
      <c r="B399" s="6"/>
      <c r="C399" s="6"/>
      <c r="D399" s="6"/>
      <c r="E399" s="7"/>
      <c r="F399" s="6"/>
      <c r="G399" s="6"/>
    </row>
    <row r="400" spans="1:7" ht="12.75" customHeight="1" x14ac:dyDescent="0.25">
      <c r="A400" s="6"/>
      <c r="B400" s="6"/>
      <c r="C400" s="6"/>
      <c r="D400" s="6"/>
      <c r="E400" s="7"/>
      <c r="F400" s="6"/>
      <c r="G400" s="6"/>
    </row>
    <row r="401" spans="1:7" ht="12.75" customHeight="1" x14ac:dyDescent="0.25">
      <c r="A401" s="6"/>
      <c r="B401" s="6"/>
      <c r="C401" s="6"/>
      <c r="D401" s="6"/>
      <c r="E401" s="7"/>
      <c r="F401" s="6"/>
      <c r="G401" s="6"/>
    </row>
    <row r="402" spans="1:7" ht="12.75" customHeight="1" x14ac:dyDescent="0.25">
      <c r="A402" s="6"/>
      <c r="B402" s="6"/>
      <c r="C402" s="6"/>
      <c r="D402" s="6"/>
      <c r="E402" s="7"/>
      <c r="F402" s="6"/>
      <c r="G402" s="6"/>
    </row>
    <row r="403" spans="1:7" ht="12.75" customHeight="1" x14ac:dyDescent="0.25">
      <c r="A403" s="6"/>
      <c r="B403" s="6"/>
      <c r="C403" s="6"/>
      <c r="D403" s="6"/>
      <c r="E403" s="7"/>
      <c r="F403" s="6"/>
      <c r="G403" s="6"/>
    </row>
    <row r="404" spans="1:7" ht="12.75" customHeight="1" x14ac:dyDescent="0.25">
      <c r="A404" s="6"/>
      <c r="B404" s="6"/>
      <c r="C404" s="6"/>
      <c r="D404" s="6"/>
      <c r="E404" s="7"/>
      <c r="F404" s="6"/>
      <c r="G404" s="6"/>
    </row>
    <row r="405" spans="1:7" ht="12.75" customHeight="1" x14ac:dyDescent="0.25">
      <c r="A405" s="6"/>
      <c r="B405" s="6"/>
      <c r="C405" s="6"/>
      <c r="D405" s="6"/>
      <c r="E405" s="7"/>
      <c r="F405" s="6"/>
      <c r="G405" s="6"/>
    </row>
    <row r="406" spans="1:7" ht="12.75" customHeight="1" x14ac:dyDescent="0.25">
      <c r="A406" s="6"/>
      <c r="B406" s="6"/>
      <c r="C406" s="6"/>
      <c r="D406" s="6"/>
      <c r="E406" s="7"/>
      <c r="F406" s="6"/>
      <c r="G406" s="6"/>
    </row>
    <row r="407" spans="1:7" ht="12.75" customHeight="1" x14ac:dyDescent="0.25">
      <c r="A407" s="6"/>
      <c r="B407" s="6"/>
      <c r="C407" s="6"/>
      <c r="D407" s="6"/>
      <c r="E407" s="7"/>
      <c r="F407" s="6"/>
      <c r="G407" s="6"/>
    </row>
    <row r="408" spans="1:7" ht="12.75" customHeight="1" x14ac:dyDescent="0.25">
      <c r="A408" s="6"/>
      <c r="B408" s="6"/>
      <c r="C408" s="6"/>
      <c r="D408" s="6"/>
      <c r="E408" s="7"/>
      <c r="F408" s="6"/>
      <c r="G408" s="6"/>
    </row>
    <row r="409" spans="1:7" ht="12.75" customHeight="1" x14ac:dyDescent="0.25">
      <c r="A409" s="6"/>
      <c r="B409" s="6"/>
      <c r="C409" s="6"/>
      <c r="D409" s="6"/>
      <c r="E409" s="7"/>
      <c r="F409" s="6"/>
      <c r="G409" s="6"/>
    </row>
    <row r="410" spans="1:7" ht="12.75" customHeight="1" x14ac:dyDescent="0.25">
      <c r="A410" s="6"/>
      <c r="B410" s="6"/>
      <c r="C410" s="6"/>
      <c r="D410" s="6"/>
      <c r="E410" s="7"/>
      <c r="F410" s="6"/>
      <c r="G410" s="6"/>
    </row>
    <row r="411" spans="1:7" ht="12.75" customHeight="1" x14ac:dyDescent="0.25">
      <c r="A411" s="6"/>
      <c r="B411" s="6"/>
      <c r="C411" s="6"/>
      <c r="D411" s="6"/>
      <c r="E411" s="7"/>
      <c r="F411" s="6"/>
      <c r="G411" s="6"/>
    </row>
    <row r="412" spans="1:7" ht="12.75" customHeight="1" x14ac:dyDescent="0.25">
      <c r="A412" s="6"/>
      <c r="B412" s="6"/>
      <c r="C412" s="6"/>
      <c r="D412" s="6"/>
      <c r="E412" s="7"/>
      <c r="F412" s="6"/>
      <c r="G412" s="6"/>
    </row>
    <row r="413" spans="1:7" ht="12.75" customHeight="1" x14ac:dyDescent="0.25">
      <c r="A413" s="6"/>
      <c r="B413" s="6"/>
      <c r="C413" s="6"/>
      <c r="D413" s="6"/>
      <c r="E413" s="7"/>
      <c r="F413" s="6"/>
      <c r="G413" s="6"/>
    </row>
    <row r="414" spans="1:7" ht="12.75" customHeight="1" x14ac:dyDescent="0.25">
      <c r="A414" s="6"/>
      <c r="B414" s="6"/>
      <c r="C414" s="6"/>
      <c r="D414" s="6"/>
      <c r="E414" s="7"/>
      <c r="F414" s="6"/>
      <c r="G414" s="6"/>
    </row>
    <row r="415" spans="1:7" ht="12.75" customHeight="1" x14ac:dyDescent="0.25">
      <c r="A415" s="6"/>
      <c r="B415" s="6"/>
      <c r="C415" s="6"/>
      <c r="D415" s="6"/>
      <c r="E415" s="7"/>
      <c r="F415" s="6"/>
      <c r="G415" s="6"/>
    </row>
    <row r="416" spans="1:7" ht="12.75" customHeight="1" x14ac:dyDescent="0.25">
      <c r="A416" s="6"/>
      <c r="B416" s="6"/>
      <c r="C416" s="6"/>
      <c r="D416" s="6"/>
      <c r="E416" s="7"/>
      <c r="F416" s="6"/>
      <c r="G416" s="6"/>
    </row>
    <row r="417" spans="1:7" ht="12.75" customHeight="1" x14ac:dyDescent="0.25">
      <c r="A417" s="6"/>
      <c r="B417" s="6"/>
      <c r="C417" s="6"/>
      <c r="D417" s="6"/>
      <c r="E417" s="7"/>
      <c r="F417" s="6"/>
      <c r="G417" s="6"/>
    </row>
    <row r="418" spans="1:7" ht="12.75" customHeight="1" x14ac:dyDescent="0.25">
      <c r="A418" s="6"/>
      <c r="B418" s="6"/>
      <c r="C418" s="6"/>
      <c r="D418" s="6"/>
      <c r="E418" s="7"/>
      <c r="F418" s="6"/>
      <c r="G418" s="6"/>
    </row>
    <row r="419" spans="1:7" ht="12.75" customHeight="1" x14ac:dyDescent="0.25">
      <c r="A419" s="6"/>
      <c r="B419" s="6"/>
      <c r="C419" s="6"/>
      <c r="D419" s="6"/>
      <c r="E419" s="7"/>
      <c r="F419" s="6"/>
      <c r="G419" s="6"/>
    </row>
    <row r="420" spans="1:7" ht="12.75" customHeight="1" x14ac:dyDescent="0.25">
      <c r="A420" s="6"/>
      <c r="B420" s="6"/>
      <c r="C420" s="6"/>
      <c r="D420" s="6"/>
      <c r="E420" s="7"/>
      <c r="F420" s="6"/>
      <c r="G420" s="6"/>
    </row>
    <row r="421" spans="1:7" ht="12.75" customHeight="1" x14ac:dyDescent="0.25">
      <c r="A421" s="6"/>
      <c r="B421" s="6"/>
      <c r="C421" s="6"/>
      <c r="D421" s="6"/>
      <c r="E421" s="7"/>
      <c r="F421" s="6"/>
      <c r="G421" s="6"/>
    </row>
    <row r="422" spans="1:7" ht="12.75" customHeight="1" x14ac:dyDescent="0.25">
      <c r="A422" s="6"/>
      <c r="B422" s="6"/>
      <c r="C422" s="6"/>
      <c r="D422" s="6"/>
      <c r="E422" s="7"/>
      <c r="F422" s="6"/>
      <c r="G422" s="6"/>
    </row>
    <row r="423" spans="1:7" ht="12.75" customHeight="1" x14ac:dyDescent="0.25">
      <c r="A423" s="6"/>
      <c r="B423" s="6"/>
      <c r="C423" s="6"/>
      <c r="D423" s="6"/>
      <c r="E423" s="7"/>
      <c r="F423" s="6"/>
      <c r="G423" s="6"/>
    </row>
    <row r="424" spans="1:7" ht="12.75" customHeight="1" x14ac:dyDescent="0.25">
      <c r="A424" s="6"/>
      <c r="B424" s="6"/>
      <c r="C424" s="6"/>
      <c r="D424" s="6"/>
      <c r="E424" s="7"/>
      <c r="F424" s="6"/>
      <c r="G424" s="6"/>
    </row>
    <row r="425" spans="1:7" ht="12.75" customHeight="1" x14ac:dyDescent="0.25">
      <c r="A425" s="6"/>
      <c r="B425" s="6"/>
      <c r="C425" s="6"/>
      <c r="D425" s="6"/>
      <c r="E425" s="7"/>
      <c r="F425" s="6"/>
      <c r="G425" s="6"/>
    </row>
    <row r="426" spans="1:7" ht="12.75" customHeight="1" x14ac:dyDescent="0.25">
      <c r="A426" s="6"/>
      <c r="B426" s="6"/>
      <c r="C426" s="6"/>
      <c r="D426" s="6"/>
      <c r="E426" s="7"/>
      <c r="F426" s="6"/>
      <c r="G426" s="6"/>
    </row>
    <row r="427" spans="1:7" ht="12.75" customHeight="1" x14ac:dyDescent="0.25">
      <c r="A427" s="6"/>
      <c r="B427" s="6"/>
      <c r="C427" s="6"/>
      <c r="D427" s="6"/>
      <c r="E427" s="7"/>
      <c r="F427" s="6"/>
      <c r="G427" s="6"/>
    </row>
    <row r="428" spans="1:7" ht="12.75" customHeight="1" x14ac:dyDescent="0.25">
      <c r="A428" s="6"/>
      <c r="B428" s="6"/>
      <c r="C428" s="6"/>
      <c r="D428" s="6"/>
      <c r="E428" s="7"/>
      <c r="F428" s="6"/>
      <c r="G428" s="6"/>
    </row>
    <row r="429" spans="1:7" ht="12.75" customHeight="1" x14ac:dyDescent="0.25">
      <c r="A429" s="6"/>
      <c r="B429" s="6"/>
      <c r="C429" s="6"/>
      <c r="D429" s="6"/>
      <c r="E429" s="7"/>
      <c r="F429" s="6"/>
      <c r="G429" s="6"/>
    </row>
    <row r="430" spans="1:7" ht="12.75" customHeight="1" x14ac:dyDescent="0.25">
      <c r="A430" s="6"/>
      <c r="B430" s="6"/>
      <c r="C430" s="6"/>
      <c r="D430" s="6"/>
      <c r="E430" s="7"/>
      <c r="F430" s="6"/>
      <c r="G430" s="6"/>
    </row>
    <row r="431" spans="1:7" ht="12.75" customHeight="1" x14ac:dyDescent="0.25">
      <c r="A431" s="6"/>
      <c r="B431" s="6"/>
      <c r="C431" s="6"/>
      <c r="D431" s="6"/>
      <c r="E431" s="7"/>
      <c r="F431" s="6"/>
      <c r="G431" s="6"/>
    </row>
    <row r="432" spans="1:7" ht="12.75" customHeight="1" x14ac:dyDescent="0.25">
      <c r="A432" s="6"/>
      <c r="B432" s="6"/>
      <c r="C432" s="6"/>
      <c r="D432" s="6"/>
      <c r="E432" s="7"/>
      <c r="F432" s="6"/>
      <c r="G432" s="6"/>
    </row>
    <row r="433" spans="1:7" ht="12.75" customHeight="1" x14ac:dyDescent="0.25">
      <c r="A433" s="6"/>
      <c r="B433" s="6"/>
      <c r="C433" s="6"/>
      <c r="D433" s="6"/>
      <c r="E433" s="7"/>
      <c r="F433" s="6"/>
      <c r="G433" s="6"/>
    </row>
    <row r="434" spans="1:7" ht="12.75" customHeight="1" x14ac:dyDescent="0.25">
      <c r="A434" s="6"/>
      <c r="B434" s="6"/>
      <c r="C434" s="6"/>
      <c r="D434" s="6"/>
      <c r="E434" s="7"/>
      <c r="F434" s="6"/>
      <c r="G434" s="6"/>
    </row>
    <row r="435" spans="1:7" ht="12.75" customHeight="1" x14ac:dyDescent="0.25">
      <c r="A435" s="6"/>
      <c r="B435" s="6"/>
      <c r="C435" s="6"/>
      <c r="D435" s="6"/>
      <c r="E435" s="7"/>
      <c r="F435" s="6"/>
      <c r="G435" s="6"/>
    </row>
    <row r="436" spans="1:7" ht="12.75" customHeight="1" x14ac:dyDescent="0.25">
      <c r="A436" s="6"/>
      <c r="B436" s="6"/>
      <c r="C436" s="6"/>
      <c r="D436" s="6"/>
      <c r="E436" s="7"/>
      <c r="F436" s="6"/>
      <c r="G436" s="6"/>
    </row>
    <row r="437" spans="1:7" ht="12.75" customHeight="1" x14ac:dyDescent="0.25">
      <c r="A437" s="6"/>
      <c r="B437" s="6"/>
      <c r="C437" s="6"/>
      <c r="D437" s="6"/>
      <c r="E437" s="7"/>
      <c r="F437" s="6"/>
      <c r="G437" s="6"/>
    </row>
    <row r="438" spans="1:7" ht="12.75" customHeight="1" x14ac:dyDescent="0.25">
      <c r="A438" s="6"/>
      <c r="B438" s="6"/>
      <c r="C438" s="6"/>
      <c r="D438" s="6"/>
      <c r="E438" s="7"/>
      <c r="F438" s="6"/>
      <c r="G438" s="6"/>
    </row>
    <row r="439" spans="1:7" ht="12.75" customHeight="1" x14ac:dyDescent="0.25">
      <c r="A439" s="6"/>
      <c r="B439" s="6"/>
      <c r="C439" s="6"/>
      <c r="D439" s="6"/>
      <c r="E439" s="7"/>
      <c r="F439" s="6"/>
      <c r="G439" s="6"/>
    </row>
    <row r="440" spans="1:7" ht="12.75" customHeight="1" x14ac:dyDescent="0.25">
      <c r="A440" s="6"/>
      <c r="B440" s="6"/>
      <c r="C440" s="6"/>
      <c r="D440" s="6"/>
      <c r="E440" s="7"/>
      <c r="F440" s="6"/>
      <c r="G440" s="6"/>
    </row>
    <row r="441" spans="1:7" ht="12.75" customHeight="1" x14ac:dyDescent="0.25">
      <c r="A441" s="6"/>
      <c r="B441" s="6"/>
      <c r="C441" s="6"/>
      <c r="D441" s="6"/>
      <c r="E441" s="7"/>
      <c r="F441" s="6"/>
      <c r="G441" s="6"/>
    </row>
    <row r="442" spans="1:7" ht="12.75" customHeight="1" x14ac:dyDescent="0.25">
      <c r="A442" s="6"/>
      <c r="B442" s="6"/>
      <c r="C442" s="6"/>
      <c r="D442" s="6"/>
      <c r="E442" s="7"/>
      <c r="F442" s="6"/>
      <c r="G442" s="6"/>
    </row>
    <row r="443" spans="1:7" ht="12.75" customHeight="1" x14ac:dyDescent="0.25">
      <c r="A443" s="6"/>
      <c r="B443" s="6"/>
      <c r="C443" s="6"/>
      <c r="D443" s="6"/>
      <c r="E443" s="7"/>
      <c r="F443" s="6"/>
      <c r="G443" s="6"/>
    </row>
    <row r="444" spans="1:7" ht="12.75" customHeight="1" x14ac:dyDescent="0.25">
      <c r="A444" s="6"/>
      <c r="B444" s="6"/>
      <c r="C444" s="6"/>
      <c r="D444" s="6"/>
      <c r="E444" s="7"/>
      <c r="F444" s="6"/>
      <c r="G444" s="6"/>
    </row>
    <row r="445" spans="1:7" ht="12.75" customHeight="1" x14ac:dyDescent="0.25">
      <c r="A445" s="6"/>
      <c r="B445" s="6"/>
      <c r="C445" s="6"/>
      <c r="D445" s="6"/>
      <c r="E445" s="7"/>
      <c r="F445" s="6"/>
      <c r="G445" s="6"/>
    </row>
    <row r="446" spans="1:7" ht="12.75" customHeight="1" x14ac:dyDescent="0.25">
      <c r="A446" s="6"/>
      <c r="B446" s="6"/>
      <c r="C446" s="6"/>
      <c r="D446" s="6"/>
      <c r="E446" s="7"/>
      <c r="F446" s="6"/>
      <c r="G446" s="6"/>
    </row>
    <row r="447" spans="1:7" ht="12.75" customHeight="1" x14ac:dyDescent="0.25">
      <c r="A447" s="6"/>
      <c r="B447" s="6"/>
      <c r="C447" s="6"/>
      <c r="D447" s="6"/>
      <c r="E447" s="7"/>
      <c r="F447" s="6"/>
      <c r="G447" s="6"/>
    </row>
    <row r="448" spans="1:7" ht="12.75" customHeight="1" x14ac:dyDescent="0.25">
      <c r="A448" s="6"/>
      <c r="B448" s="6"/>
      <c r="C448" s="6"/>
      <c r="D448" s="6"/>
      <c r="E448" s="7"/>
      <c r="F448" s="6"/>
      <c r="G448" s="6"/>
    </row>
    <row r="449" spans="1:7" ht="12.75" customHeight="1" x14ac:dyDescent="0.25">
      <c r="A449" s="6"/>
      <c r="B449" s="6"/>
      <c r="C449" s="6"/>
      <c r="D449" s="6"/>
      <c r="E449" s="7"/>
      <c r="F449" s="6"/>
      <c r="G449" s="6"/>
    </row>
    <row r="450" spans="1:7" ht="12.75" customHeight="1" x14ac:dyDescent="0.25">
      <c r="A450" s="6"/>
      <c r="B450" s="6"/>
      <c r="C450" s="6"/>
      <c r="D450" s="6"/>
      <c r="E450" s="7"/>
      <c r="F450" s="6"/>
      <c r="G450" s="6"/>
    </row>
    <row r="451" spans="1:7" ht="12.75" customHeight="1" x14ac:dyDescent="0.25">
      <c r="A451" s="6"/>
      <c r="B451" s="6"/>
      <c r="C451" s="6"/>
      <c r="D451" s="6"/>
      <c r="E451" s="7"/>
      <c r="F451" s="6"/>
      <c r="G451" s="6"/>
    </row>
    <row r="452" spans="1:7" ht="12.75" customHeight="1" x14ac:dyDescent="0.25">
      <c r="A452" s="6"/>
      <c r="B452" s="6"/>
      <c r="C452" s="6"/>
      <c r="D452" s="6"/>
      <c r="E452" s="7"/>
      <c r="F452" s="6"/>
      <c r="G452" s="6"/>
    </row>
    <row r="453" spans="1:7" ht="12.75" customHeight="1" x14ac:dyDescent="0.25">
      <c r="A453" s="6"/>
      <c r="B453" s="6"/>
      <c r="C453" s="6"/>
      <c r="D453" s="6"/>
      <c r="E453" s="7"/>
      <c r="F453" s="6"/>
      <c r="G453" s="6"/>
    </row>
    <row r="454" spans="1:7" ht="12.75" customHeight="1" x14ac:dyDescent="0.25">
      <c r="A454" s="6"/>
      <c r="B454" s="6"/>
      <c r="C454" s="6"/>
      <c r="D454" s="6"/>
      <c r="E454" s="7"/>
      <c r="F454" s="6"/>
      <c r="G454" s="6"/>
    </row>
    <row r="455" spans="1:7" ht="12.75" customHeight="1" x14ac:dyDescent="0.25">
      <c r="A455" s="6"/>
      <c r="B455" s="6"/>
      <c r="C455" s="6"/>
      <c r="D455" s="6"/>
      <c r="E455" s="7"/>
      <c r="F455" s="6"/>
      <c r="G455" s="6"/>
    </row>
    <row r="456" spans="1:7" ht="12.75" customHeight="1" x14ac:dyDescent="0.25">
      <c r="A456" s="6"/>
      <c r="B456" s="6"/>
      <c r="C456" s="6"/>
      <c r="D456" s="6"/>
      <c r="E456" s="7"/>
      <c r="F456" s="6"/>
      <c r="G456" s="6"/>
    </row>
    <row r="457" spans="1:7" ht="12.75" customHeight="1" x14ac:dyDescent="0.25">
      <c r="A457" s="6"/>
      <c r="B457" s="6"/>
      <c r="C457" s="6"/>
      <c r="D457" s="6"/>
      <c r="E457" s="7"/>
      <c r="F457" s="6"/>
      <c r="G457" s="6"/>
    </row>
    <row r="458" spans="1:7" ht="12.75" customHeight="1" x14ac:dyDescent="0.25">
      <c r="A458" s="6"/>
      <c r="B458" s="6"/>
      <c r="C458" s="6"/>
      <c r="D458" s="6"/>
      <c r="E458" s="7"/>
      <c r="F458" s="6"/>
      <c r="G458" s="6"/>
    </row>
    <row r="459" spans="1:7" ht="12.75" customHeight="1" x14ac:dyDescent="0.25">
      <c r="A459" s="6"/>
      <c r="B459" s="6"/>
      <c r="C459" s="6"/>
      <c r="D459" s="6"/>
      <c r="E459" s="7"/>
      <c r="F459" s="6"/>
      <c r="G459" s="6"/>
    </row>
    <row r="460" spans="1:7" ht="12.75" customHeight="1" x14ac:dyDescent="0.25">
      <c r="A460" s="6"/>
      <c r="B460" s="6"/>
      <c r="C460" s="6"/>
      <c r="D460" s="6"/>
      <c r="E460" s="7"/>
      <c r="F460" s="6"/>
      <c r="G460" s="6"/>
    </row>
    <row r="461" spans="1:7" ht="12.75" customHeight="1" x14ac:dyDescent="0.25">
      <c r="A461" s="6"/>
      <c r="B461" s="6"/>
      <c r="C461" s="6"/>
      <c r="D461" s="6"/>
      <c r="E461" s="7"/>
      <c r="F461" s="6"/>
      <c r="G461" s="6"/>
    </row>
    <row r="462" spans="1:7" ht="12.75" customHeight="1" x14ac:dyDescent="0.25">
      <c r="A462" s="6"/>
      <c r="B462" s="6"/>
      <c r="C462" s="6"/>
      <c r="D462" s="6"/>
      <c r="E462" s="7"/>
      <c r="F462" s="6"/>
      <c r="G462" s="6"/>
    </row>
    <row r="463" spans="1:7" ht="12.75" customHeight="1" x14ac:dyDescent="0.25">
      <c r="A463" s="6"/>
      <c r="B463" s="6"/>
      <c r="C463" s="6"/>
      <c r="D463" s="6"/>
      <c r="E463" s="7"/>
      <c r="F463" s="6"/>
      <c r="G463" s="6"/>
    </row>
    <row r="464" spans="1:7" ht="12.75" customHeight="1" x14ac:dyDescent="0.25">
      <c r="A464" s="6"/>
      <c r="B464" s="6"/>
      <c r="C464" s="6"/>
      <c r="D464" s="6"/>
      <c r="E464" s="7"/>
      <c r="F464" s="6"/>
      <c r="G464" s="6"/>
    </row>
    <row r="465" spans="1:7" ht="12.75" customHeight="1" x14ac:dyDescent="0.25">
      <c r="A465" s="6"/>
      <c r="B465" s="6"/>
      <c r="C465" s="6"/>
      <c r="D465" s="6"/>
      <c r="E465" s="7"/>
      <c r="F465" s="6"/>
      <c r="G465" s="6"/>
    </row>
    <row r="466" spans="1:7" ht="12.75" customHeight="1" x14ac:dyDescent="0.25">
      <c r="A466" s="6"/>
      <c r="B466" s="6"/>
      <c r="C466" s="6"/>
      <c r="D466" s="6"/>
      <c r="E466" s="7"/>
      <c r="F466" s="6"/>
      <c r="G466" s="6"/>
    </row>
    <row r="467" spans="1:7" ht="12.75" customHeight="1" x14ac:dyDescent="0.25">
      <c r="A467" s="6"/>
      <c r="B467" s="6"/>
      <c r="C467" s="6"/>
      <c r="D467" s="6"/>
      <c r="E467" s="7"/>
      <c r="F467" s="6"/>
      <c r="G467" s="6"/>
    </row>
    <row r="468" spans="1:7" ht="12.75" customHeight="1" x14ac:dyDescent="0.25">
      <c r="A468" s="6"/>
      <c r="B468" s="6"/>
      <c r="C468" s="6"/>
      <c r="D468" s="6"/>
      <c r="E468" s="7"/>
      <c r="F468" s="6"/>
      <c r="G468" s="6"/>
    </row>
    <row r="469" spans="1:7" ht="12.75" customHeight="1" x14ac:dyDescent="0.25">
      <c r="A469" s="6"/>
      <c r="B469" s="6"/>
      <c r="C469" s="6"/>
      <c r="D469" s="6"/>
      <c r="E469" s="7"/>
      <c r="F469" s="6"/>
      <c r="G469" s="6"/>
    </row>
    <row r="470" spans="1:7" ht="12.75" customHeight="1" x14ac:dyDescent="0.25">
      <c r="A470" s="6"/>
      <c r="B470" s="6"/>
      <c r="C470" s="6"/>
      <c r="D470" s="6"/>
      <c r="E470" s="7"/>
      <c r="F470" s="6"/>
      <c r="G470" s="6"/>
    </row>
    <row r="471" spans="1:7" ht="12.75" customHeight="1" x14ac:dyDescent="0.25">
      <c r="A471" s="6"/>
      <c r="B471" s="6"/>
      <c r="C471" s="6"/>
      <c r="D471" s="6"/>
      <c r="E471" s="7"/>
      <c r="F471" s="6"/>
      <c r="G471" s="6"/>
    </row>
    <row r="472" spans="1:7" ht="12.75" customHeight="1" x14ac:dyDescent="0.25">
      <c r="A472" s="6"/>
      <c r="B472" s="6"/>
      <c r="C472" s="6"/>
      <c r="D472" s="6"/>
      <c r="E472" s="7"/>
      <c r="F472" s="6"/>
      <c r="G472" s="6"/>
    </row>
    <row r="473" spans="1:7" ht="12.75" customHeight="1" x14ac:dyDescent="0.25">
      <c r="A473" s="6"/>
      <c r="B473" s="6"/>
      <c r="C473" s="6"/>
      <c r="D473" s="6"/>
      <c r="E473" s="7"/>
      <c r="F473" s="6"/>
      <c r="G473" s="6"/>
    </row>
    <row r="474" spans="1:7" ht="12.75" customHeight="1" x14ac:dyDescent="0.25">
      <c r="A474" s="6"/>
      <c r="B474" s="6"/>
      <c r="C474" s="6"/>
      <c r="D474" s="6"/>
      <c r="E474" s="7"/>
      <c r="F474" s="6"/>
      <c r="G474" s="6"/>
    </row>
    <row r="475" spans="1:7" ht="12.75" customHeight="1" x14ac:dyDescent="0.25">
      <c r="A475" s="6"/>
      <c r="B475" s="6"/>
      <c r="C475" s="6"/>
      <c r="D475" s="6"/>
      <c r="E475" s="7"/>
      <c r="F475" s="6"/>
      <c r="G475" s="6"/>
    </row>
    <row r="476" spans="1:7" ht="12.75" customHeight="1" x14ac:dyDescent="0.25">
      <c r="A476" s="6"/>
      <c r="B476" s="6"/>
      <c r="C476" s="6"/>
      <c r="D476" s="6"/>
      <c r="E476" s="7"/>
      <c r="F476" s="6"/>
      <c r="G476" s="6"/>
    </row>
    <row r="477" spans="1:7" ht="12.75" customHeight="1" x14ac:dyDescent="0.25">
      <c r="A477" s="6"/>
      <c r="B477" s="6"/>
      <c r="C477" s="6"/>
      <c r="D477" s="6"/>
      <c r="E477" s="7"/>
      <c r="F477" s="6"/>
      <c r="G477" s="6"/>
    </row>
    <row r="478" spans="1:7" ht="12.75" customHeight="1" x14ac:dyDescent="0.25">
      <c r="A478" s="6"/>
      <c r="B478" s="6"/>
      <c r="C478" s="6"/>
      <c r="D478" s="6"/>
      <c r="E478" s="7"/>
      <c r="F478" s="6"/>
      <c r="G478" s="6"/>
    </row>
    <row r="479" spans="1:7" ht="12.75" customHeight="1" x14ac:dyDescent="0.25">
      <c r="A479" s="6"/>
      <c r="B479" s="6"/>
      <c r="C479" s="6"/>
      <c r="D479" s="6"/>
      <c r="E479" s="7"/>
      <c r="F479" s="6"/>
      <c r="G479" s="6"/>
    </row>
    <row r="480" spans="1:7" ht="12.75" customHeight="1" x14ac:dyDescent="0.25">
      <c r="A480" s="6"/>
      <c r="B480" s="6"/>
      <c r="C480" s="6"/>
      <c r="D480" s="6"/>
      <c r="E480" s="7"/>
      <c r="F480" s="6"/>
      <c r="G480" s="6"/>
    </row>
    <row r="481" spans="1:7" ht="12.75" customHeight="1" x14ac:dyDescent="0.25">
      <c r="A481" s="6"/>
      <c r="B481" s="6"/>
      <c r="C481" s="6"/>
      <c r="D481" s="6"/>
      <c r="E481" s="7"/>
      <c r="F481" s="6"/>
      <c r="G481" s="6"/>
    </row>
    <row r="482" spans="1:7" ht="12.75" customHeight="1" x14ac:dyDescent="0.25">
      <c r="A482" s="6"/>
      <c r="B482" s="6"/>
      <c r="C482" s="6"/>
      <c r="D482" s="6"/>
      <c r="E482" s="7"/>
      <c r="F482" s="6"/>
      <c r="G482" s="6"/>
    </row>
    <row r="483" spans="1:7" ht="12.75" customHeight="1" x14ac:dyDescent="0.25">
      <c r="A483" s="6"/>
      <c r="B483" s="6"/>
      <c r="C483" s="6"/>
      <c r="D483" s="6"/>
      <c r="E483" s="7"/>
      <c r="F483" s="6"/>
      <c r="G483" s="6"/>
    </row>
    <row r="484" spans="1:7" ht="12.75" customHeight="1" x14ac:dyDescent="0.25">
      <c r="A484" s="6"/>
      <c r="B484" s="6"/>
      <c r="C484" s="6"/>
      <c r="D484" s="6"/>
      <c r="E484" s="7"/>
      <c r="F484" s="6"/>
      <c r="G484" s="6"/>
    </row>
    <row r="485" spans="1:7" ht="12.75" customHeight="1" x14ac:dyDescent="0.25">
      <c r="A485" s="6"/>
      <c r="B485" s="6"/>
      <c r="C485" s="6"/>
      <c r="D485" s="6"/>
      <c r="E485" s="7"/>
      <c r="F485" s="6"/>
      <c r="G485" s="6"/>
    </row>
    <row r="486" spans="1:7" ht="12.75" customHeight="1" x14ac:dyDescent="0.25">
      <c r="A486" s="6"/>
      <c r="B486" s="6"/>
      <c r="C486" s="6"/>
      <c r="D486" s="6"/>
      <c r="E486" s="7"/>
      <c r="F486" s="6"/>
      <c r="G486" s="6"/>
    </row>
    <row r="487" spans="1:7" ht="12.75" customHeight="1" x14ac:dyDescent="0.25">
      <c r="A487" s="6"/>
      <c r="B487" s="6"/>
      <c r="C487" s="6"/>
      <c r="D487" s="6"/>
      <c r="E487" s="7"/>
      <c r="F487" s="6"/>
      <c r="G487" s="6"/>
    </row>
    <row r="488" spans="1:7" ht="12.75" customHeight="1" x14ac:dyDescent="0.25">
      <c r="A488" s="6"/>
      <c r="B488" s="6"/>
      <c r="C488" s="6"/>
      <c r="D488" s="6"/>
      <c r="E488" s="7"/>
      <c r="F488" s="6"/>
      <c r="G488" s="6"/>
    </row>
    <row r="489" spans="1:7" ht="12.75" customHeight="1" x14ac:dyDescent="0.25">
      <c r="A489" s="6"/>
      <c r="B489" s="6"/>
      <c r="C489" s="6"/>
      <c r="D489" s="6"/>
      <c r="E489" s="7"/>
      <c r="F489" s="6"/>
      <c r="G489" s="6"/>
    </row>
    <row r="490" spans="1:7" ht="12.75" customHeight="1" x14ac:dyDescent="0.25">
      <c r="A490" s="6"/>
      <c r="B490" s="6"/>
      <c r="C490" s="6"/>
      <c r="D490" s="6"/>
      <c r="E490" s="7"/>
      <c r="F490" s="6"/>
      <c r="G490" s="6"/>
    </row>
    <row r="491" spans="1:7" ht="12.75" customHeight="1" x14ac:dyDescent="0.25">
      <c r="A491" s="6"/>
      <c r="B491" s="6"/>
      <c r="C491" s="6"/>
      <c r="D491" s="6"/>
      <c r="E491" s="7"/>
      <c r="F491" s="6"/>
      <c r="G491" s="6"/>
    </row>
    <row r="492" spans="1:7" ht="12.75" customHeight="1" x14ac:dyDescent="0.25">
      <c r="A492" s="6"/>
      <c r="B492" s="6"/>
      <c r="C492" s="6"/>
      <c r="D492" s="6"/>
      <c r="E492" s="7"/>
      <c r="F492" s="6"/>
      <c r="G492" s="6"/>
    </row>
    <row r="493" spans="1:7" ht="12.75" customHeight="1" x14ac:dyDescent="0.25">
      <c r="A493" s="6"/>
      <c r="B493" s="6"/>
      <c r="C493" s="6"/>
      <c r="D493" s="6"/>
      <c r="E493" s="7"/>
      <c r="F493" s="6"/>
      <c r="G493" s="6"/>
    </row>
    <row r="494" spans="1:7" ht="12.75" customHeight="1" x14ac:dyDescent="0.25">
      <c r="A494" s="6"/>
      <c r="B494" s="6"/>
      <c r="C494" s="6"/>
      <c r="D494" s="6"/>
      <c r="E494" s="7"/>
      <c r="F494" s="6"/>
      <c r="G494" s="6"/>
    </row>
    <row r="495" spans="1:7" ht="12.75" customHeight="1" x14ac:dyDescent="0.25">
      <c r="A495" s="6"/>
      <c r="B495" s="6"/>
      <c r="C495" s="6"/>
      <c r="D495" s="6"/>
      <c r="E495" s="7"/>
      <c r="F495" s="6"/>
      <c r="G495" s="6"/>
    </row>
    <row r="496" spans="1:7" ht="12.75" customHeight="1" x14ac:dyDescent="0.25">
      <c r="A496" s="6"/>
      <c r="B496" s="6"/>
      <c r="C496" s="6"/>
      <c r="D496" s="6"/>
      <c r="E496" s="7"/>
      <c r="F496" s="6"/>
      <c r="G496" s="6"/>
    </row>
    <row r="497" spans="1:7" ht="12.75" customHeight="1" x14ac:dyDescent="0.25">
      <c r="A497" s="6"/>
      <c r="B497" s="6"/>
      <c r="C497" s="6"/>
      <c r="D497" s="6"/>
      <c r="E497" s="7"/>
      <c r="F497" s="6"/>
      <c r="G497" s="6"/>
    </row>
    <row r="498" spans="1:7" ht="12.75" customHeight="1" x14ac:dyDescent="0.25">
      <c r="A498" s="6"/>
      <c r="B498" s="6"/>
      <c r="C498" s="6"/>
      <c r="D498" s="6"/>
      <c r="E498" s="7"/>
      <c r="F498" s="6"/>
      <c r="G498" s="6"/>
    </row>
    <row r="499" spans="1:7" ht="12.75" customHeight="1" x14ac:dyDescent="0.25">
      <c r="A499" s="6"/>
      <c r="B499" s="6"/>
      <c r="C499" s="6"/>
      <c r="D499" s="6"/>
      <c r="E499" s="7"/>
      <c r="F499" s="6"/>
      <c r="G499" s="6"/>
    </row>
    <row r="500" spans="1:7" ht="12.75" customHeight="1" x14ac:dyDescent="0.25">
      <c r="A500" s="6"/>
      <c r="B500" s="6"/>
      <c r="C500" s="6"/>
      <c r="D500" s="6"/>
      <c r="E500" s="7"/>
      <c r="F500" s="6"/>
      <c r="G500" s="6"/>
    </row>
    <row r="501" spans="1:7" ht="12.75" customHeight="1" x14ac:dyDescent="0.25">
      <c r="A501" s="6"/>
      <c r="B501" s="6"/>
      <c r="C501" s="6"/>
      <c r="D501" s="6"/>
      <c r="E501" s="7"/>
      <c r="F501" s="6"/>
      <c r="G501" s="6"/>
    </row>
    <row r="502" spans="1:7" ht="12.75" customHeight="1" x14ac:dyDescent="0.25">
      <c r="A502" s="6"/>
      <c r="B502" s="6"/>
      <c r="C502" s="6"/>
      <c r="D502" s="6"/>
      <c r="E502" s="7"/>
      <c r="F502" s="6"/>
      <c r="G502" s="6"/>
    </row>
    <row r="503" spans="1:7" ht="12.75" customHeight="1" x14ac:dyDescent="0.25">
      <c r="A503" s="6"/>
      <c r="B503" s="6"/>
      <c r="C503" s="6"/>
      <c r="D503" s="6"/>
      <c r="E503" s="7"/>
      <c r="F503" s="6"/>
      <c r="G503" s="6"/>
    </row>
    <row r="504" spans="1:7" ht="12.75" customHeight="1" x14ac:dyDescent="0.25">
      <c r="A504" s="6"/>
      <c r="B504" s="6"/>
      <c r="C504" s="6"/>
      <c r="D504" s="6"/>
      <c r="E504" s="7"/>
      <c r="F504" s="6"/>
      <c r="G504" s="6"/>
    </row>
    <row r="505" spans="1:7" ht="12.75" customHeight="1" x14ac:dyDescent="0.25">
      <c r="A505" s="6"/>
      <c r="B505" s="6"/>
      <c r="C505" s="6"/>
      <c r="D505" s="6"/>
      <c r="E505" s="7"/>
      <c r="F505" s="6"/>
      <c r="G505" s="6"/>
    </row>
    <row r="506" spans="1:7" ht="12.75" customHeight="1" x14ac:dyDescent="0.25">
      <c r="A506" s="6"/>
      <c r="B506" s="6"/>
      <c r="C506" s="6"/>
      <c r="D506" s="6"/>
      <c r="E506" s="7"/>
      <c r="F506" s="6"/>
      <c r="G506" s="6"/>
    </row>
    <row r="507" spans="1:7" ht="12.75" customHeight="1" x14ac:dyDescent="0.25">
      <c r="A507" s="6"/>
      <c r="B507" s="6"/>
      <c r="C507" s="6"/>
      <c r="D507" s="6"/>
      <c r="E507" s="7"/>
      <c r="F507" s="6"/>
      <c r="G507" s="6"/>
    </row>
    <row r="508" spans="1:7" ht="12.75" customHeight="1" x14ac:dyDescent="0.25">
      <c r="A508" s="6"/>
      <c r="B508" s="6"/>
      <c r="C508" s="6"/>
      <c r="D508" s="6"/>
      <c r="E508" s="7"/>
      <c r="F508" s="6"/>
      <c r="G508" s="6"/>
    </row>
    <row r="509" spans="1:7" ht="12.75" customHeight="1" x14ac:dyDescent="0.25">
      <c r="A509" s="6"/>
      <c r="B509" s="6"/>
      <c r="C509" s="6"/>
      <c r="D509" s="6"/>
      <c r="E509" s="7"/>
      <c r="F509" s="6"/>
      <c r="G509" s="6"/>
    </row>
    <row r="510" spans="1:7" ht="12.75" customHeight="1" x14ac:dyDescent="0.25">
      <c r="A510" s="6"/>
      <c r="B510" s="6"/>
      <c r="C510" s="6"/>
      <c r="D510" s="6"/>
      <c r="E510" s="7"/>
      <c r="F510" s="6"/>
      <c r="G510" s="6"/>
    </row>
    <row r="511" spans="1:7" ht="12.75" customHeight="1" x14ac:dyDescent="0.25">
      <c r="A511" s="6"/>
      <c r="B511" s="6"/>
      <c r="C511" s="6"/>
      <c r="D511" s="6"/>
      <c r="E511" s="7"/>
      <c r="F511" s="6"/>
      <c r="G511" s="6"/>
    </row>
    <row r="512" spans="1:7" ht="12.75" customHeight="1" x14ac:dyDescent="0.25">
      <c r="A512" s="6"/>
      <c r="B512" s="6"/>
      <c r="C512" s="6"/>
      <c r="D512" s="6"/>
      <c r="E512" s="7"/>
      <c r="F512" s="6"/>
      <c r="G512" s="6"/>
    </row>
    <row r="513" spans="1:7" ht="12.75" customHeight="1" x14ac:dyDescent="0.25">
      <c r="A513" s="6"/>
      <c r="B513" s="6"/>
      <c r="C513" s="6"/>
      <c r="D513" s="6"/>
      <c r="E513" s="7"/>
      <c r="F513" s="6"/>
      <c r="G513" s="6"/>
    </row>
    <row r="514" spans="1:7" ht="12.75" customHeight="1" x14ac:dyDescent="0.25">
      <c r="A514" s="6"/>
      <c r="B514" s="6"/>
      <c r="C514" s="6"/>
      <c r="D514" s="6"/>
      <c r="E514" s="7"/>
      <c r="F514" s="6"/>
      <c r="G514" s="6"/>
    </row>
    <row r="515" spans="1:7" ht="12.75" customHeight="1" x14ac:dyDescent="0.25">
      <c r="A515" s="6"/>
      <c r="B515" s="6"/>
      <c r="C515" s="6"/>
      <c r="D515" s="6"/>
      <c r="E515" s="7"/>
      <c r="F515" s="6"/>
      <c r="G515" s="6"/>
    </row>
    <row r="516" spans="1:7" ht="12.75" customHeight="1" x14ac:dyDescent="0.25">
      <c r="A516" s="6"/>
      <c r="B516" s="6"/>
      <c r="C516" s="6"/>
      <c r="D516" s="6"/>
      <c r="E516" s="7"/>
      <c r="F516" s="6"/>
      <c r="G516" s="6"/>
    </row>
    <row r="517" spans="1:7" ht="12.75" customHeight="1" x14ac:dyDescent="0.25">
      <c r="A517" s="6"/>
      <c r="B517" s="6"/>
      <c r="C517" s="6"/>
      <c r="D517" s="6"/>
      <c r="E517" s="7"/>
      <c r="F517" s="6"/>
      <c r="G517" s="6"/>
    </row>
    <row r="518" spans="1:7" ht="12.75" customHeight="1" x14ac:dyDescent="0.25">
      <c r="A518" s="6"/>
      <c r="B518" s="6"/>
      <c r="C518" s="6"/>
      <c r="D518" s="6"/>
      <c r="E518" s="7"/>
      <c r="F518" s="6"/>
      <c r="G518" s="6"/>
    </row>
    <row r="519" spans="1:7" ht="12.75" customHeight="1" x14ac:dyDescent="0.25">
      <c r="A519" s="6"/>
      <c r="B519" s="6"/>
      <c r="C519" s="6"/>
      <c r="D519" s="6"/>
      <c r="E519" s="7"/>
      <c r="F519" s="6"/>
      <c r="G519" s="6"/>
    </row>
    <row r="520" spans="1:7" ht="12.75" customHeight="1" x14ac:dyDescent="0.25">
      <c r="A520" s="6"/>
      <c r="B520" s="6"/>
      <c r="C520" s="6"/>
      <c r="D520" s="6"/>
      <c r="E520" s="7"/>
      <c r="F520" s="6"/>
      <c r="G520" s="6"/>
    </row>
    <row r="521" spans="1:7" ht="12.75" customHeight="1" x14ac:dyDescent="0.25">
      <c r="A521" s="6"/>
      <c r="B521" s="6"/>
      <c r="C521" s="6"/>
      <c r="D521" s="6"/>
      <c r="E521" s="7"/>
      <c r="F521" s="6"/>
      <c r="G521" s="6"/>
    </row>
    <row r="522" spans="1:7" ht="12.75" customHeight="1" x14ac:dyDescent="0.25">
      <c r="A522" s="6"/>
      <c r="B522" s="6"/>
      <c r="C522" s="6"/>
      <c r="D522" s="6"/>
      <c r="E522" s="7"/>
      <c r="F522" s="6"/>
      <c r="G522" s="6"/>
    </row>
    <row r="523" spans="1:7" ht="12.75" customHeight="1" x14ac:dyDescent="0.25">
      <c r="A523" s="6"/>
      <c r="B523" s="6"/>
      <c r="C523" s="6"/>
      <c r="D523" s="6"/>
      <c r="E523" s="7"/>
      <c r="F523" s="6"/>
      <c r="G523" s="6"/>
    </row>
    <row r="524" spans="1:7" ht="12.75" customHeight="1" x14ac:dyDescent="0.25">
      <c r="A524" s="6"/>
      <c r="B524" s="6"/>
      <c r="C524" s="6"/>
      <c r="D524" s="6"/>
      <c r="E524" s="7"/>
      <c r="F524" s="6"/>
      <c r="G524" s="6"/>
    </row>
    <row r="525" spans="1:7" ht="12.75" customHeight="1" x14ac:dyDescent="0.25">
      <c r="A525" s="6"/>
      <c r="B525" s="6"/>
      <c r="C525" s="6"/>
      <c r="D525" s="6"/>
      <c r="E525" s="7"/>
      <c r="F525" s="6"/>
      <c r="G525" s="6"/>
    </row>
    <row r="526" spans="1:7" ht="12.75" customHeight="1" x14ac:dyDescent="0.25">
      <c r="A526" s="6"/>
      <c r="B526" s="6"/>
      <c r="C526" s="6"/>
      <c r="D526" s="6"/>
      <c r="E526" s="7"/>
      <c r="F526" s="6"/>
      <c r="G526" s="6"/>
    </row>
    <row r="527" spans="1:7" ht="12.75" customHeight="1" x14ac:dyDescent="0.25">
      <c r="A527" s="6"/>
      <c r="B527" s="6"/>
      <c r="C527" s="6"/>
      <c r="D527" s="6"/>
      <c r="E527" s="7"/>
      <c r="F527" s="6"/>
      <c r="G527" s="6"/>
    </row>
    <row r="528" spans="1:7" ht="12.75" customHeight="1" x14ac:dyDescent="0.25">
      <c r="A528" s="6"/>
      <c r="B528" s="6"/>
      <c r="C528" s="6"/>
      <c r="D528" s="6"/>
      <c r="E528" s="7"/>
      <c r="F528" s="6"/>
      <c r="G528" s="6"/>
    </row>
    <row r="529" spans="1:7" ht="12.75" customHeight="1" x14ac:dyDescent="0.25">
      <c r="A529" s="6"/>
      <c r="B529" s="6"/>
      <c r="C529" s="6"/>
      <c r="D529" s="6"/>
      <c r="E529" s="7"/>
      <c r="F529" s="6"/>
      <c r="G529" s="6"/>
    </row>
    <row r="530" spans="1:7" ht="12.75" customHeight="1" x14ac:dyDescent="0.25">
      <c r="A530" s="6"/>
      <c r="B530" s="6"/>
      <c r="C530" s="6"/>
      <c r="D530" s="6"/>
      <c r="E530" s="7"/>
      <c r="F530" s="6"/>
      <c r="G530" s="6"/>
    </row>
    <row r="531" spans="1:7" ht="12.75" customHeight="1" x14ac:dyDescent="0.25">
      <c r="A531" s="6"/>
      <c r="B531" s="6"/>
      <c r="C531" s="6"/>
      <c r="D531" s="6"/>
      <c r="E531" s="7"/>
      <c r="F531" s="6"/>
      <c r="G531" s="6"/>
    </row>
    <row r="532" spans="1:7" ht="12.75" customHeight="1" x14ac:dyDescent="0.25">
      <c r="A532" s="6"/>
      <c r="B532" s="6"/>
      <c r="C532" s="6"/>
      <c r="D532" s="6"/>
      <c r="E532" s="7"/>
      <c r="F532" s="6"/>
      <c r="G532" s="6"/>
    </row>
    <row r="533" spans="1:7" ht="12.75" customHeight="1" x14ac:dyDescent="0.25">
      <c r="A533" s="6"/>
      <c r="B533" s="6"/>
      <c r="C533" s="6"/>
      <c r="D533" s="6"/>
      <c r="E533" s="7"/>
      <c r="F533" s="6"/>
      <c r="G533" s="6"/>
    </row>
    <row r="534" spans="1:7" ht="12.75" customHeight="1" x14ac:dyDescent="0.25">
      <c r="A534" s="6"/>
      <c r="B534" s="6"/>
      <c r="C534" s="6"/>
      <c r="D534" s="6"/>
      <c r="E534" s="7"/>
      <c r="F534" s="6"/>
      <c r="G534" s="6"/>
    </row>
    <row r="535" spans="1:7" ht="12.75" customHeight="1" x14ac:dyDescent="0.25">
      <c r="A535" s="6"/>
      <c r="B535" s="6"/>
      <c r="C535" s="6"/>
      <c r="D535" s="6"/>
      <c r="E535" s="7"/>
      <c r="F535" s="6"/>
      <c r="G535" s="6"/>
    </row>
    <row r="536" spans="1:7" ht="12.75" customHeight="1" x14ac:dyDescent="0.25">
      <c r="A536" s="6"/>
      <c r="B536" s="6"/>
      <c r="C536" s="6"/>
      <c r="D536" s="6"/>
      <c r="E536" s="7"/>
      <c r="F536" s="6"/>
      <c r="G536" s="6"/>
    </row>
    <row r="537" spans="1:7" ht="12.75" customHeight="1" x14ac:dyDescent="0.25">
      <c r="A537" s="6"/>
      <c r="B537" s="6"/>
      <c r="C537" s="6"/>
      <c r="D537" s="6"/>
      <c r="E537" s="7"/>
      <c r="F537" s="6"/>
      <c r="G537" s="6"/>
    </row>
    <row r="538" spans="1:7" ht="12.75" customHeight="1" x14ac:dyDescent="0.25">
      <c r="A538" s="6"/>
      <c r="B538" s="6"/>
      <c r="C538" s="6"/>
      <c r="D538" s="6"/>
      <c r="E538" s="7"/>
      <c r="F538" s="6"/>
      <c r="G538" s="6"/>
    </row>
    <row r="539" spans="1:7" ht="12.75" customHeight="1" x14ac:dyDescent="0.25">
      <c r="A539" s="6"/>
      <c r="B539" s="6"/>
      <c r="C539" s="6"/>
      <c r="D539" s="6"/>
      <c r="E539" s="7"/>
      <c r="F539" s="6"/>
      <c r="G539" s="6"/>
    </row>
    <row r="540" spans="1:7" ht="12.75" customHeight="1" x14ac:dyDescent="0.25">
      <c r="A540" s="6"/>
      <c r="B540" s="6"/>
      <c r="C540" s="6"/>
      <c r="D540" s="6"/>
      <c r="E540" s="7"/>
      <c r="F540" s="6"/>
      <c r="G540" s="6"/>
    </row>
    <row r="541" spans="1:7" ht="12.75" customHeight="1" x14ac:dyDescent="0.25">
      <c r="A541" s="6"/>
      <c r="B541" s="6"/>
      <c r="C541" s="6"/>
      <c r="D541" s="6"/>
      <c r="E541" s="7"/>
      <c r="F541" s="6"/>
      <c r="G541" s="6"/>
    </row>
    <row r="542" spans="1:7" ht="12.75" customHeight="1" x14ac:dyDescent="0.25">
      <c r="A542" s="6"/>
      <c r="B542" s="6"/>
      <c r="C542" s="6"/>
      <c r="D542" s="6"/>
      <c r="E542" s="7"/>
      <c r="F542" s="6"/>
      <c r="G542" s="6"/>
    </row>
    <row r="543" spans="1:7" ht="12.75" customHeight="1" x14ac:dyDescent="0.25">
      <c r="A543" s="6"/>
      <c r="B543" s="6"/>
      <c r="C543" s="6"/>
      <c r="D543" s="6"/>
      <c r="E543" s="7"/>
      <c r="F543" s="6"/>
      <c r="G543" s="6"/>
    </row>
    <row r="544" spans="1:7" ht="12.75" customHeight="1" x14ac:dyDescent="0.25">
      <c r="A544" s="6"/>
      <c r="B544" s="6"/>
      <c r="C544" s="6"/>
      <c r="D544" s="6"/>
      <c r="E544" s="7"/>
      <c r="F544" s="6"/>
      <c r="G544" s="6"/>
    </row>
    <row r="545" spans="1:7" ht="12.75" customHeight="1" x14ac:dyDescent="0.25">
      <c r="A545" s="6"/>
      <c r="B545" s="6"/>
      <c r="C545" s="6"/>
      <c r="D545" s="6"/>
      <c r="E545" s="7"/>
      <c r="F545" s="6"/>
      <c r="G545" s="6"/>
    </row>
    <row r="546" spans="1:7" ht="12.75" customHeight="1" x14ac:dyDescent="0.25">
      <c r="A546" s="6"/>
      <c r="B546" s="6"/>
      <c r="C546" s="6"/>
      <c r="D546" s="6"/>
      <c r="E546" s="7"/>
      <c r="F546" s="6"/>
      <c r="G546" s="6"/>
    </row>
    <row r="547" spans="1:7" ht="12.75" customHeight="1" x14ac:dyDescent="0.25">
      <c r="A547" s="6"/>
      <c r="B547" s="6"/>
      <c r="C547" s="6"/>
      <c r="D547" s="6"/>
      <c r="E547" s="7"/>
      <c r="F547" s="6"/>
      <c r="G547" s="6"/>
    </row>
    <row r="548" spans="1:7" ht="12.75" customHeight="1" x14ac:dyDescent="0.25">
      <c r="A548" s="6"/>
      <c r="B548" s="6"/>
      <c r="C548" s="6"/>
      <c r="D548" s="6"/>
      <c r="E548" s="7"/>
      <c r="F548" s="6"/>
      <c r="G548" s="6"/>
    </row>
    <row r="549" spans="1:7" ht="12.75" customHeight="1" x14ac:dyDescent="0.25">
      <c r="A549" s="6"/>
      <c r="B549" s="6"/>
      <c r="C549" s="6"/>
      <c r="D549" s="6"/>
      <c r="E549" s="7"/>
      <c r="F549" s="6"/>
      <c r="G549" s="6"/>
    </row>
    <row r="550" spans="1:7" ht="12.75" customHeight="1" x14ac:dyDescent="0.25">
      <c r="A550" s="6"/>
      <c r="B550" s="6"/>
      <c r="C550" s="6"/>
      <c r="D550" s="6"/>
      <c r="E550" s="7"/>
      <c r="F550" s="6"/>
      <c r="G550" s="6"/>
    </row>
    <row r="551" spans="1:7" ht="12.75" customHeight="1" x14ac:dyDescent="0.25">
      <c r="A551" s="6"/>
      <c r="B551" s="6"/>
      <c r="C551" s="6"/>
      <c r="D551" s="6"/>
      <c r="E551" s="7"/>
      <c r="F551" s="6"/>
      <c r="G551" s="6"/>
    </row>
    <row r="552" spans="1:7" ht="12.75" customHeight="1" x14ac:dyDescent="0.25">
      <c r="A552" s="6"/>
      <c r="B552" s="6"/>
      <c r="C552" s="6"/>
      <c r="D552" s="6"/>
      <c r="E552" s="7"/>
      <c r="F552" s="6"/>
      <c r="G552" s="6"/>
    </row>
    <row r="553" spans="1:7" ht="12.75" customHeight="1" x14ac:dyDescent="0.25">
      <c r="A553" s="6"/>
      <c r="B553" s="6"/>
      <c r="C553" s="6"/>
      <c r="D553" s="6"/>
      <c r="E553" s="7"/>
      <c r="F553" s="6"/>
      <c r="G553" s="6"/>
    </row>
    <row r="554" spans="1:7" ht="12.75" customHeight="1" x14ac:dyDescent="0.25">
      <c r="A554" s="6"/>
      <c r="B554" s="6"/>
      <c r="C554" s="6"/>
      <c r="D554" s="6"/>
      <c r="E554" s="7"/>
      <c r="F554" s="6"/>
      <c r="G554" s="6"/>
    </row>
    <row r="555" spans="1:7" ht="12.75" customHeight="1" x14ac:dyDescent="0.25">
      <c r="A555" s="6"/>
      <c r="B555" s="6"/>
      <c r="C555" s="6"/>
      <c r="D555" s="6"/>
      <c r="E555" s="7"/>
      <c r="F555" s="6"/>
      <c r="G555" s="6"/>
    </row>
    <row r="556" spans="1:7" ht="12.75" customHeight="1" x14ac:dyDescent="0.25">
      <c r="A556" s="6"/>
      <c r="B556" s="6"/>
      <c r="C556" s="6"/>
      <c r="D556" s="6"/>
      <c r="E556" s="7"/>
      <c r="F556" s="6"/>
      <c r="G556" s="6"/>
    </row>
    <row r="557" spans="1:7" ht="12.75" customHeight="1" x14ac:dyDescent="0.25">
      <c r="A557" s="6"/>
      <c r="B557" s="6"/>
      <c r="C557" s="6"/>
      <c r="D557" s="6"/>
      <c r="E557" s="7"/>
      <c r="F557" s="6"/>
      <c r="G557" s="6"/>
    </row>
    <row r="558" spans="1:7" ht="12.75" customHeight="1" x14ac:dyDescent="0.25">
      <c r="A558" s="6"/>
      <c r="B558" s="6"/>
      <c r="C558" s="6"/>
      <c r="D558" s="6"/>
      <c r="E558" s="7"/>
      <c r="F558" s="6"/>
      <c r="G558" s="6"/>
    </row>
    <row r="559" spans="1:7" ht="12.75" customHeight="1" x14ac:dyDescent="0.25">
      <c r="A559" s="6"/>
      <c r="B559" s="6"/>
      <c r="C559" s="6"/>
      <c r="D559" s="6"/>
      <c r="E559" s="7"/>
      <c r="F559" s="6"/>
      <c r="G559" s="6"/>
    </row>
    <row r="560" spans="1:7" ht="12.75" customHeight="1" x14ac:dyDescent="0.25">
      <c r="A560" s="6"/>
      <c r="B560" s="6"/>
      <c r="C560" s="6"/>
      <c r="D560" s="6"/>
      <c r="E560" s="7"/>
      <c r="F560" s="6"/>
      <c r="G560" s="6"/>
    </row>
    <row r="561" spans="1:7" ht="12.75" customHeight="1" x14ac:dyDescent="0.25">
      <c r="A561" s="6"/>
      <c r="B561" s="6"/>
      <c r="C561" s="6"/>
      <c r="D561" s="6"/>
      <c r="E561" s="7"/>
      <c r="F561" s="6"/>
      <c r="G561" s="6"/>
    </row>
    <row r="562" spans="1:7" ht="12.75" customHeight="1" x14ac:dyDescent="0.25">
      <c r="A562" s="6"/>
      <c r="B562" s="6"/>
      <c r="C562" s="6"/>
      <c r="D562" s="6"/>
      <c r="E562" s="7"/>
      <c r="F562" s="6"/>
      <c r="G562" s="6"/>
    </row>
    <row r="563" spans="1:7" ht="12.75" customHeight="1" x14ac:dyDescent="0.25">
      <c r="A563" s="6"/>
      <c r="B563" s="6"/>
      <c r="C563" s="6"/>
      <c r="D563" s="6"/>
      <c r="E563" s="7"/>
      <c r="F563" s="6"/>
      <c r="G563" s="6"/>
    </row>
    <row r="564" spans="1:7" ht="12.75" customHeight="1" x14ac:dyDescent="0.25">
      <c r="A564" s="6"/>
      <c r="B564" s="6"/>
      <c r="C564" s="6"/>
      <c r="D564" s="6"/>
      <c r="E564" s="7"/>
      <c r="F564" s="6"/>
      <c r="G564" s="6"/>
    </row>
    <row r="565" spans="1:7" ht="12.75" customHeight="1" x14ac:dyDescent="0.25">
      <c r="A565" s="6"/>
      <c r="B565" s="6"/>
      <c r="C565" s="6"/>
      <c r="D565" s="6"/>
      <c r="E565" s="7"/>
      <c r="F565" s="6"/>
      <c r="G565" s="6"/>
    </row>
    <row r="566" spans="1:7" ht="12.75" customHeight="1" x14ac:dyDescent="0.25">
      <c r="A566" s="6"/>
      <c r="B566" s="6"/>
      <c r="C566" s="6"/>
      <c r="D566" s="6"/>
      <c r="E566" s="7"/>
      <c r="F566" s="6"/>
      <c r="G566" s="6"/>
    </row>
    <row r="567" spans="1:7" ht="12.75" customHeight="1" x14ac:dyDescent="0.25">
      <c r="A567" s="6"/>
      <c r="B567" s="6"/>
      <c r="C567" s="6"/>
      <c r="D567" s="6"/>
      <c r="E567" s="7"/>
      <c r="F567" s="6"/>
      <c r="G567" s="6"/>
    </row>
    <row r="568" spans="1:7" ht="12.75" customHeight="1" x14ac:dyDescent="0.25">
      <c r="A568" s="6"/>
      <c r="B568" s="6"/>
      <c r="C568" s="6"/>
      <c r="D568" s="6"/>
      <c r="E568" s="7"/>
      <c r="F568" s="6"/>
      <c r="G568" s="6"/>
    </row>
    <row r="569" spans="1:7" ht="12.75" customHeight="1" x14ac:dyDescent="0.25">
      <c r="A569" s="6"/>
      <c r="B569" s="6"/>
      <c r="C569" s="6"/>
      <c r="D569" s="6"/>
      <c r="E569" s="7"/>
      <c r="F569" s="6"/>
      <c r="G569" s="6"/>
    </row>
    <row r="570" spans="1:7" ht="12.75" customHeight="1" x14ac:dyDescent="0.25">
      <c r="A570" s="6"/>
      <c r="B570" s="6"/>
      <c r="C570" s="6"/>
      <c r="D570" s="6"/>
      <c r="E570" s="7"/>
      <c r="F570" s="6"/>
      <c r="G570" s="6"/>
    </row>
    <row r="571" spans="1:7" ht="12.75" customHeight="1" x14ac:dyDescent="0.25">
      <c r="A571" s="6"/>
      <c r="B571" s="6"/>
      <c r="C571" s="6"/>
      <c r="D571" s="6"/>
      <c r="E571" s="7"/>
      <c r="F571" s="6"/>
      <c r="G571" s="6"/>
    </row>
    <row r="572" spans="1:7" ht="12.75" customHeight="1" x14ac:dyDescent="0.25">
      <c r="A572" s="6"/>
      <c r="B572" s="6"/>
      <c r="C572" s="6"/>
      <c r="D572" s="6"/>
      <c r="E572" s="7"/>
      <c r="F572" s="6"/>
      <c r="G572" s="6"/>
    </row>
    <row r="573" spans="1:7" ht="12.75" customHeight="1" x14ac:dyDescent="0.25">
      <c r="A573" s="6"/>
      <c r="B573" s="6"/>
      <c r="C573" s="6"/>
      <c r="D573" s="6"/>
      <c r="E573" s="7"/>
      <c r="F573" s="6"/>
      <c r="G573" s="6"/>
    </row>
    <row r="574" spans="1:7" ht="12.75" customHeight="1" x14ac:dyDescent="0.25">
      <c r="A574" s="6"/>
      <c r="B574" s="6"/>
      <c r="C574" s="6"/>
      <c r="D574" s="6"/>
      <c r="E574" s="7"/>
      <c r="F574" s="6"/>
      <c r="G574" s="6"/>
    </row>
    <row r="575" spans="1:7" ht="12.75" customHeight="1" x14ac:dyDescent="0.25">
      <c r="A575" s="6"/>
      <c r="B575" s="6"/>
      <c r="C575" s="6"/>
      <c r="D575" s="6"/>
      <c r="E575" s="7"/>
      <c r="F575" s="6"/>
      <c r="G575" s="6"/>
    </row>
    <row r="576" spans="1:7" ht="12.75" customHeight="1" x14ac:dyDescent="0.25">
      <c r="A576" s="6"/>
      <c r="B576" s="6"/>
      <c r="C576" s="6"/>
      <c r="D576" s="6"/>
      <c r="E576" s="7"/>
      <c r="F576" s="6"/>
      <c r="G576" s="6"/>
    </row>
    <row r="577" spans="1:7" ht="12.75" customHeight="1" x14ac:dyDescent="0.25">
      <c r="A577" s="6"/>
      <c r="B577" s="6"/>
      <c r="C577" s="6"/>
      <c r="D577" s="6"/>
      <c r="E577" s="7"/>
      <c r="F577" s="6"/>
      <c r="G577" s="6"/>
    </row>
    <row r="578" spans="1:7" ht="12.75" customHeight="1" x14ac:dyDescent="0.25">
      <c r="A578" s="6"/>
      <c r="B578" s="6"/>
      <c r="C578" s="6"/>
      <c r="D578" s="6"/>
      <c r="E578" s="7"/>
      <c r="F578" s="6"/>
      <c r="G578" s="6"/>
    </row>
    <row r="579" spans="1:7" ht="12.75" customHeight="1" x14ac:dyDescent="0.25">
      <c r="A579" s="6"/>
      <c r="B579" s="6"/>
      <c r="C579" s="6"/>
      <c r="D579" s="6"/>
      <c r="E579" s="7"/>
      <c r="F579" s="6"/>
      <c r="G579" s="6"/>
    </row>
    <row r="580" spans="1:7" ht="12.75" customHeight="1" x14ac:dyDescent="0.25">
      <c r="A580" s="6"/>
      <c r="B580" s="6"/>
      <c r="C580" s="6"/>
      <c r="D580" s="6"/>
      <c r="E580" s="7"/>
      <c r="F580" s="6"/>
      <c r="G580" s="6"/>
    </row>
    <row r="581" spans="1:7" ht="12.75" customHeight="1" x14ac:dyDescent="0.25">
      <c r="A581" s="6"/>
      <c r="B581" s="6"/>
      <c r="C581" s="6"/>
      <c r="D581" s="6"/>
      <c r="E581" s="7"/>
      <c r="F581" s="6"/>
      <c r="G581" s="6"/>
    </row>
    <row r="582" spans="1:7" ht="12.75" customHeight="1" x14ac:dyDescent="0.25">
      <c r="A582" s="6"/>
      <c r="B582" s="6"/>
      <c r="C582" s="6"/>
      <c r="D582" s="6"/>
      <c r="E582" s="7"/>
      <c r="F582" s="6"/>
      <c r="G582" s="6"/>
    </row>
    <row r="583" spans="1:7" ht="12.75" customHeight="1" x14ac:dyDescent="0.25">
      <c r="A583" s="6"/>
      <c r="B583" s="6"/>
      <c r="C583" s="6"/>
      <c r="D583" s="6"/>
      <c r="E583" s="7"/>
      <c r="F583" s="6"/>
      <c r="G583" s="6"/>
    </row>
    <row r="584" spans="1:7" ht="12.75" customHeight="1" x14ac:dyDescent="0.25">
      <c r="A584" s="6"/>
      <c r="B584" s="6"/>
      <c r="C584" s="6"/>
      <c r="D584" s="6"/>
      <c r="E584" s="7"/>
      <c r="F584" s="6"/>
      <c r="G584" s="6"/>
    </row>
    <row r="585" spans="1:7" ht="12.75" customHeight="1" x14ac:dyDescent="0.25">
      <c r="A585" s="6"/>
      <c r="B585" s="6"/>
      <c r="C585" s="6"/>
      <c r="D585" s="6"/>
      <c r="E585" s="7"/>
      <c r="F585" s="6"/>
      <c r="G585" s="6"/>
    </row>
    <row r="586" spans="1:7" ht="12.75" customHeight="1" x14ac:dyDescent="0.25">
      <c r="A586" s="6"/>
      <c r="B586" s="6"/>
      <c r="C586" s="6"/>
      <c r="D586" s="6"/>
      <c r="E586" s="7"/>
      <c r="F586" s="6"/>
      <c r="G586" s="6"/>
    </row>
    <row r="587" spans="1:7" ht="12.75" customHeight="1" x14ac:dyDescent="0.25">
      <c r="A587" s="6"/>
      <c r="B587" s="6"/>
      <c r="C587" s="6"/>
      <c r="D587" s="6"/>
      <c r="E587" s="7"/>
      <c r="F587" s="6"/>
      <c r="G587" s="6"/>
    </row>
    <row r="588" spans="1:7" ht="12.75" customHeight="1" x14ac:dyDescent="0.25">
      <c r="A588" s="6"/>
      <c r="B588" s="6"/>
      <c r="C588" s="6"/>
      <c r="D588" s="6"/>
      <c r="E588" s="7"/>
      <c r="F588" s="6"/>
      <c r="G588" s="6"/>
    </row>
    <row r="589" spans="1:7" ht="12.75" customHeight="1" x14ac:dyDescent="0.25">
      <c r="A589" s="6"/>
      <c r="B589" s="6"/>
      <c r="C589" s="6"/>
      <c r="D589" s="6"/>
      <c r="E589" s="7"/>
      <c r="F589" s="6"/>
      <c r="G589" s="6"/>
    </row>
    <row r="590" spans="1:7" ht="12.75" customHeight="1" x14ac:dyDescent="0.25">
      <c r="A590" s="6"/>
      <c r="B590" s="6"/>
      <c r="C590" s="6"/>
      <c r="D590" s="6"/>
      <c r="E590" s="7"/>
      <c r="F590" s="6"/>
      <c r="G590" s="6"/>
    </row>
    <row r="591" spans="1:7" ht="12.75" customHeight="1" x14ac:dyDescent="0.25">
      <c r="A591" s="6"/>
      <c r="B591" s="6"/>
      <c r="C591" s="6"/>
      <c r="D591" s="6"/>
      <c r="E591" s="7"/>
      <c r="F591" s="6"/>
      <c r="G591" s="6"/>
    </row>
    <row r="592" spans="1:7" ht="12.75" customHeight="1" x14ac:dyDescent="0.25">
      <c r="A592" s="6"/>
      <c r="B592" s="6"/>
      <c r="C592" s="6"/>
      <c r="D592" s="6"/>
      <c r="E592" s="7"/>
      <c r="F592" s="6"/>
      <c r="G592" s="6"/>
    </row>
    <row r="593" spans="1:7" ht="12.75" customHeight="1" x14ac:dyDescent="0.25">
      <c r="A593" s="6"/>
      <c r="B593" s="6"/>
      <c r="C593" s="6"/>
      <c r="D593" s="6"/>
      <c r="E593" s="7"/>
      <c r="F593" s="6"/>
      <c r="G593" s="6"/>
    </row>
    <row r="594" spans="1:7" ht="12.75" customHeight="1" x14ac:dyDescent="0.25">
      <c r="A594" s="6"/>
      <c r="B594" s="6"/>
      <c r="C594" s="6"/>
      <c r="D594" s="6"/>
      <c r="E594" s="7"/>
      <c r="F594" s="6"/>
      <c r="G594" s="6"/>
    </row>
    <row r="595" spans="1:7" ht="12.75" customHeight="1" x14ac:dyDescent="0.25">
      <c r="A595" s="6"/>
      <c r="B595" s="6"/>
      <c r="C595" s="6"/>
      <c r="D595" s="6"/>
      <c r="E595" s="7"/>
      <c r="F595" s="6"/>
      <c r="G595" s="6"/>
    </row>
    <row r="596" spans="1:7" ht="12.75" customHeight="1" x14ac:dyDescent="0.25">
      <c r="A596" s="6"/>
      <c r="B596" s="6"/>
      <c r="C596" s="6"/>
      <c r="D596" s="6"/>
      <c r="E596" s="7"/>
      <c r="F596" s="6"/>
      <c r="G596" s="6"/>
    </row>
    <row r="597" spans="1:7" ht="12.75" customHeight="1" x14ac:dyDescent="0.25">
      <c r="A597" s="6"/>
      <c r="B597" s="6"/>
      <c r="C597" s="6"/>
      <c r="D597" s="6"/>
      <c r="E597" s="7"/>
      <c r="F597" s="6"/>
      <c r="G597" s="6"/>
    </row>
    <row r="598" spans="1:7" ht="12.75" customHeight="1" x14ac:dyDescent="0.25">
      <c r="A598" s="6"/>
      <c r="B598" s="6"/>
      <c r="C598" s="6"/>
      <c r="D598" s="6"/>
      <c r="E598" s="7"/>
      <c r="F598" s="6"/>
      <c r="G598" s="6"/>
    </row>
    <row r="599" spans="1:7" ht="12.75" customHeight="1" x14ac:dyDescent="0.25">
      <c r="A599" s="6"/>
      <c r="B599" s="6"/>
      <c r="C599" s="6"/>
      <c r="D599" s="6"/>
      <c r="E599" s="7"/>
      <c r="F599" s="6"/>
      <c r="G599" s="6"/>
    </row>
    <row r="600" spans="1:7" ht="12.75" customHeight="1" x14ac:dyDescent="0.25">
      <c r="A600" s="6"/>
      <c r="B600" s="6"/>
      <c r="C600" s="6"/>
      <c r="D600" s="6"/>
      <c r="E600" s="7"/>
      <c r="F600" s="6"/>
      <c r="G600" s="6"/>
    </row>
    <row r="601" spans="1:7" ht="12.75" customHeight="1" x14ac:dyDescent="0.25">
      <c r="A601" s="6"/>
      <c r="B601" s="6"/>
      <c r="C601" s="6"/>
      <c r="D601" s="6"/>
      <c r="E601" s="7"/>
      <c r="F601" s="6"/>
      <c r="G601" s="6"/>
    </row>
    <row r="602" spans="1:7" ht="12.75" customHeight="1" x14ac:dyDescent="0.25">
      <c r="A602" s="6"/>
      <c r="B602" s="6"/>
      <c r="C602" s="6"/>
      <c r="D602" s="6"/>
      <c r="E602" s="7"/>
      <c r="F602" s="6"/>
      <c r="G602" s="6"/>
    </row>
    <row r="603" spans="1:7" ht="12.75" customHeight="1" x14ac:dyDescent="0.25">
      <c r="A603" s="6"/>
      <c r="B603" s="6"/>
      <c r="C603" s="6"/>
      <c r="D603" s="6"/>
      <c r="E603" s="7"/>
      <c r="F603" s="6"/>
      <c r="G603" s="6"/>
    </row>
    <row r="604" spans="1:7" ht="12.75" customHeight="1" x14ac:dyDescent="0.25">
      <c r="A604" s="6"/>
      <c r="B604" s="6"/>
      <c r="C604" s="6"/>
      <c r="D604" s="6"/>
      <c r="E604" s="7"/>
      <c r="F604" s="6"/>
      <c r="G604" s="6"/>
    </row>
    <row r="605" spans="1:7" ht="12.75" customHeight="1" x14ac:dyDescent="0.25">
      <c r="A605" s="6"/>
      <c r="B605" s="6"/>
      <c r="C605" s="6"/>
      <c r="D605" s="6"/>
      <c r="E605" s="7"/>
      <c r="F605" s="6"/>
      <c r="G605" s="6"/>
    </row>
    <row r="606" spans="1:7" ht="12.75" customHeight="1" x14ac:dyDescent="0.25">
      <c r="A606" s="6"/>
      <c r="B606" s="6"/>
      <c r="C606" s="6"/>
      <c r="D606" s="6"/>
      <c r="E606" s="7"/>
      <c r="F606" s="6"/>
      <c r="G606" s="6"/>
    </row>
    <row r="607" spans="1:7" ht="12.75" customHeight="1" x14ac:dyDescent="0.25">
      <c r="A607" s="6"/>
      <c r="B607" s="6"/>
      <c r="C607" s="6"/>
      <c r="D607" s="6"/>
      <c r="E607" s="7"/>
      <c r="F607" s="6"/>
      <c r="G607" s="6"/>
    </row>
    <row r="608" spans="1:7" ht="12.75" customHeight="1" x14ac:dyDescent="0.25">
      <c r="A608" s="6"/>
      <c r="B608" s="6"/>
      <c r="C608" s="6"/>
      <c r="D608" s="6"/>
      <c r="E608" s="7"/>
      <c r="F608" s="6"/>
      <c r="G608" s="6"/>
    </row>
    <row r="609" spans="1:7" ht="12.75" customHeight="1" x14ac:dyDescent="0.25">
      <c r="A609" s="6"/>
      <c r="B609" s="6"/>
      <c r="C609" s="6"/>
      <c r="D609" s="6"/>
      <c r="E609" s="7"/>
      <c r="F609" s="6"/>
      <c r="G609" s="6"/>
    </row>
    <row r="610" spans="1:7" ht="12.75" customHeight="1" x14ac:dyDescent="0.25">
      <c r="A610" s="6"/>
      <c r="B610" s="6"/>
      <c r="C610" s="6"/>
      <c r="D610" s="6"/>
      <c r="E610" s="7"/>
      <c r="F610" s="6"/>
      <c r="G610" s="6"/>
    </row>
    <row r="611" spans="1:7" ht="12.75" customHeight="1" x14ac:dyDescent="0.25">
      <c r="A611" s="6"/>
      <c r="B611" s="6"/>
      <c r="C611" s="6"/>
      <c r="D611" s="6"/>
      <c r="E611" s="7"/>
      <c r="F611" s="6"/>
      <c r="G611" s="6"/>
    </row>
    <row r="612" spans="1:7" ht="12.75" customHeight="1" x14ac:dyDescent="0.25">
      <c r="A612" s="6"/>
      <c r="B612" s="6"/>
      <c r="C612" s="6"/>
      <c r="D612" s="6"/>
      <c r="E612" s="7"/>
      <c r="F612" s="6"/>
      <c r="G612" s="6"/>
    </row>
    <row r="613" spans="1:7" ht="12.75" customHeight="1" x14ac:dyDescent="0.25">
      <c r="A613" s="6"/>
      <c r="B613" s="6"/>
      <c r="C613" s="6"/>
      <c r="D613" s="6"/>
      <c r="E613" s="7"/>
      <c r="F613" s="6"/>
      <c r="G613" s="6"/>
    </row>
    <row r="614" spans="1:7" ht="12.75" customHeight="1" x14ac:dyDescent="0.25">
      <c r="A614" s="6"/>
      <c r="B614" s="6"/>
      <c r="C614" s="6"/>
      <c r="D614" s="6"/>
      <c r="E614" s="7"/>
      <c r="F614" s="6"/>
      <c r="G614" s="6"/>
    </row>
    <row r="615" spans="1:7" ht="12.75" customHeight="1" x14ac:dyDescent="0.25">
      <c r="A615" s="6"/>
      <c r="B615" s="6"/>
      <c r="C615" s="6"/>
      <c r="D615" s="6"/>
      <c r="E615" s="7"/>
      <c r="F615" s="6"/>
      <c r="G615" s="6"/>
    </row>
    <row r="616" spans="1:7" ht="12.75" customHeight="1" x14ac:dyDescent="0.25">
      <c r="A616" s="6"/>
      <c r="B616" s="6"/>
      <c r="C616" s="6"/>
      <c r="D616" s="6"/>
      <c r="E616" s="7"/>
      <c r="F616" s="6"/>
      <c r="G616" s="6"/>
    </row>
    <row r="617" spans="1:7" ht="12.75" customHeight="1" x14ac:dyDescent="0.25">
      <c r="A617" s="6"/>
      <c r="B617" s="6"/>
      <c r="C617" s="6"/>
      <c r="D617" s="6"/>
      <c r="E617" s="7"/>
      <c r="F617" s="6"/>
      <c r="G617" s="6"/>
    </row>
    <row r="618" spans="1:7" ht="12.75" customHeight="1" x14ac:dyDescent="0.25">
      <c r="A618" s="6"/>
      <c r="B618" s="6"/>
      <c r="C618" s="6"/>
      <c r="D618" s="6"/>
      <c r="E618" s="7"/>
      <c r="F618" s="6"/>
      <c r="G618" s="6"/>
    </row>
    <row r="619" spans="1:7" ht="12.75" customHeight="1" x14ac:dyDescent="0.25">
      <c r="A619" s="6"/>
      <c r="B619" s="6"/>
      <c r="C619" s="6"/>
      <c r="D619" s="6"/>
      <c r="E619" s="7"/>
      <c r="F619" s="6"/>
      <c r="G619" s="6"/>
    </row>
    <row r="620" spans="1:7" ht="12.75" customHeight="1" x14ac:dyDescent="0.25">
      <c r="A620" s="6"/>
      <c r="B620" s="6"/>
      <c r="C620" s="6"/>
      <c r="D620" s="6"/>
      <c r="E620" s="7"/>
      <c r="F620" s="6"/>
      <c r="G620" s="6"/>
    </row>
    <row r="621" spans="1:7" ht="12.75" customHeight="1" x14ac:dyDescent="0.25">
      <c r="A621" s="6"/>
      <c r="B621" s="6"/>
      <c r="C621" s="6"/>
      <c r="D621" s="6"/>
      <c r="E621" s="7"/>
      <c r="F621" s="6"/>
      <c r="G621" s="6"/>
    </row>
    <row r="622" spans="1:7" ht="12.75" customHeight="1" x14ac:dyDescent="0.25">
      <c r="A622" s="6"/>
      <c r="B622" s="6"/>
      <c r="C622" s="6"/>
      <c r="D622" s="6"/>
      <c r="E622" s="7"/>
      <c r="F622" s="6"/>
      <c r="G622" s="6"/>
    </row>
    <row r="623" spans="1:7" ht="12.75" customHeight="1" x14ac:dyDescent="0.25">
      <c r="A623" s="6"/>
      <c r="B623" s="6"/>
      <c r="C623" s="6"/>
      <c r="D623" s="6"/>
      <c r="E623" s="7"/>
      <c r="F623" s="6"/>
      <c r="G623" s="6"/>
    </row>
    <row r="624" spans="1:7" ht="12.75" customHeight="1" x14ac:dyDescent="0.25">
      <c r="A624" s="6"/>
      <c r="B624" s="6"/>
      <c r="C624" s="6"/>
      <c r="D624" s="6"/>
      <c r="E624" s="7"/>
      <c r="F624" s="6"/>
      <c r="G624" s="6"/>
    </row>
    <row r="625" spans="1:7" ht="12.75" customHeight="1" x14ac:dyDescent="0.25">
      <c r="A625" s="6"/>
      <c r="B625" s="6"/>
      <c r="C625" s="6"/>
      <c r="D625" s="6"/>
      <c r="E625" s="7"/>
      <c r="F625" s="6"/>
      <c r="G625" s="6"/>
    </row>
    <row r="626" spans="1:7" ht="12.75" customHeight="1" x14ac:dyDescent="0.25">
      <c r="A626" s="6"/>
      <c r="B626" s="6"/>
      <c r="C626" s="6"/>
      <c r="D626" s="6"/>
      <c r="E626" s="7"/>
      <c r="F626" s="6"/>
      <c r="G626" s="6"/>
    </row>
    <row r="627" spans="1:7" ht="12.75" customHeight="1" x14ac:dyDescent="0.25">
      <c r="A627" s="6"/>
      <c r="B627" s="6"/>
      <c r="C627" s="6"/>
      <c r="D627" s="6"/>
      <c r="E627" s="7"/>
      <c r="F627" s="6"/>
      <c r="G627" s="6"/>
    </row>
    <row r="628" spans="1:7" ht="12.75" customHeight="1" x14ac:dyDescent="0.25">
      <c r="A628" s="6"/>
      <c r="B628" s="6"/>
      <c r="C628" s="6"/>
      <c r="D628" s="6"/>
      <c r="E628" s="7"/>
      <c r="F628" s="6"/>
      <c r="G628" s="6"/>
    </row>
    <row r="629" spans="1:7" ht="12.75" customHeight="1" x14ac:dyDescent="0.25">
      <c r="A629" s="6"/>
      <c r="B629" s="6"/>
      <c r="C629" s="6"/>
      <c r="D629" s="6"/>
      <c r="E629" s="7"/>
      <c r="F629" s="6"/>
      <c r="G629" s="6"/>
    </row>
    <row r="630" spans="1:7" ht="12.75" customHeight="1" x14ac:dyDescent="0.25">
      <c r="A630" s="6"/>
      <c r="B630" s="6"/>
      <c r="C630" s="6"/>
      <c r="D630" s="6"/>
      <c r="E630" s="7"/>
      <c r="F630" s="6"/>
      <c r="G630" s="6"/>
    </row>
    <row r="631" spans="1:7" ht="12.75" customHeight="1" x14ac:dyDescent="0.25">
      <c r="A631" s="6"/>
      <c r="B631" s="6"/>
      <c r="C631" s="6"/>
      <c r="D631" s="6"/>
      <c r="E631" s="7"/>
      <c r="F631" s="6"/>
      <c r="G631" s="6"/>
    </row>
    <row r="632" spans="1:7" ht="12.75" customHeight="1" x14ac:dyDescent="0.25">
      <c r="A632" s="6"/>
      <c r="B632" s="6"/>
      <c r="C632" s="6"/>
      <c r="D632" s="6"/>
      <c r="E632" s="7"/>
      <c r="F632" s="6"/>
      <c r="G632" s="6"/>
    </row>
    <row r="633" spans="1:7" ht="12.75" customHeight="1" x14ac:dyDescent="0.25">
      <c r="A633" s="6"/>
      <c r="B633" s="6"/>
      <c r="C633" s="6"/>
      <c r="D633" s="6"/>
      <c r="E633" s="7"/>
      <c r="F633" s="6"/>
      <c r="G633" s="6"/>
    </row>
    <row r="634" spans="1:7" ht="12.75" customHeight="1" x14ac:dyDescent="0.25">
      <c r="A634" s="6"/>
      <c r="B634" s="6"/>
      <c r="C634" s="6"/>
      <c r="D634" s="6"/>
      <c r="E634" s="7"/>
      <c r="F634" s="6"/>
      <c r="G634" s="6"/>
    </row>
    <row r="635" spans="1:7" ht="12.75" customHeight="1" x14ac:dyDescent="0.25">
      <c r="A635" s="6"/>
      <c r="B635" s="6"/>
      <c r="C635" s="6"/>
      <c r="D635" s="6"/>
      <c r="E635" s="7"/>
      <c r="F635" s="6"/>
      <c r="G635" s="6"/>
    </row>
    <row r="636" spans="1:7" ht="12.75" customHeight="1" x14ac:dyDescent="0.25">
      <c r="A636" s="6"/>
      <c r="B636" s="6"/>
      <c r="C636" s="6"/>
      <c r="D636" s="6"/>
      <c r="E636" s="7"/>
      <c r="F636" s="6"/>
      <c r="G636" s="6"/>
    </row>
    <row r="637" spans="1:7" ht="12.75" customHeight="1" x14ac:dyDescent="0.25">
      <c r="A637" s="6"/>
      <c r="B637" s="6"/>
      <c r="C637" s="6"/>
      <c r="D637" s="6"/>
      <c r="E637" s="7"/>
      <c r="F637" s="6"/>
      <c r="G637" s="6"/>
    </row>
    <row r="638" spans="1:7" ht="12.75" customHeight="1" x14ac:dyDescent="0.25">
      <c r="A638" s="6"/>
      <c r="B638" s="6"/>
      <c r="C638" s="6"/>
      <c r="D638" s="6"/>
      <c r="E638" s="7"/>
      <c r="F638" s="6"/>
      <c r="G638" s="6"/>
    </row>
    <row r="639" spans="1:7" ht="12.75" customHeight="1" x14ac:dyDescent="0.25">
      <c r="A639" s="6"/>
      <c r="B639" s="6"/>
      <c r="C639" s="6"/>
      <c r="D639" s="6"/>
      <c r="E639" s="7"/>
      <c r="F639" s="6"/>
      <c r="G639" s="6"/>
    </row>
    <row r="640" spans="1:7" ht="12.75" customHeight="1" x14ac:dyDescent="0.25">
      <c r="A640" s="6"/>
      <c r="B640" s="6"/>
      <c r="C640" s="6"/>
      <c r="D640" s="6"/>
      <c r="E640" s="7"/>
      <c r="F640" s="6"/>
      <c r="G640" s="6"/>
    </row>
    <row r="641" spans="1:7" ht="12.75" customHeight="1" x14ac:dyDescent="0.25">
      <c r="A641" s="6"/>
      <c r="B641" s="6"/>
      <c r="C641" s="6"/>
      <c r="D641" s="6"/>
      <c r="E641" s="7"/>
      <c r="F641" s="6"/>
      <c r="G641" s="6"/>
    </row>
    <row r="642" spans="1:7" ht="12.75" customHeight="1" x14ac:dyDescent="0.25">
      <c r="A642" s="6"/>
      <c r="B642" s="6"/>
      <c r="C642" s="6"/>
      <c r="D642" s="6"/>
      <c r="E642" s="7"/>
      <c r="F642" s="6"/>
      <c r="G642" s="6"/>
    </row>
    <row r="643" spans="1:7" ht="12.75" customHeight="1" x14ac:dyDescent="0.25">
      <c r="A643" s="6"/>
      <c r="B643" s="6"/>
      <c r="C643" s="6"/>
      <c r="D643" s="6"/>
      <c r="E643" s="7"/>
      <c r="F643" s="6"/>
      <c r="G643" s="6"/>
    </row>
    <row r="644" spans="1:7" ht="12.75" customHeight="1" x14ac:dyDescent="0.25">
      <c r="A644" s="6"/>
      <c r="B644" s="6"/>
      <c r="C644" s="6"/>
      <c r="D644" s="6"/>
      <c r="E644" s="7"/>
      <c r="F644" s="6"/>
      <c r="G644" s="6"/>
    </row>
    <row r="645" spans="1:7" ht="12.75" customHeight="1" x14ac:dyDescent="0.25">
      <c r="A645" s="6"/>
      <c r="B645" s="6"/>
      <c r="C645" s="6"/>
      <c r="D645" s="6"/>
      <c r="E645" s="7"/>
      <c r="F645" s="6"/>
      <c r="G645" s="6"/>
    </row>
    <row r="646" spans="1:7" ht="12.75" customHeight="1" x14ac:dyDescent="0.25">
      <c r="A646" s="6"/>
      <c r="B646" s="6"/>
      <c r="C646" s="6"/>
      <c r="D646" s="6"/>
      <c r="E646" s="7"/>
      <c r="F646" s="6"/>
      <c r="G646" s="6"/>
    </row>
    <row r="647" spans="1:7" ht="12.75" customHeight="1" x14ac:dyDescent="0.25">
      <c r="A647" s="6"/>
      <c r="B647" s="6"/>
      <c r="C647" s="6"/>
      <c r="D647" s="6"/>
      <c r="E647" s="7"/>
      <c r="F647" s="6"/>
      <c r="G647" s="6"/>
    </row>
    <row r="648" spans="1:7" ht="12.75" customHeight="1" x14ac:dyDescent="0.25">
      <c r="A648" s="6"/>
      <c r="B648" s="6"/>
      <c r="C648" s="6"/>
      <c r="D648" s="6"/>
      <c r="E648" s="7"/>
      <c r="F648" s="6"/>
      <c r="G648" s="6"/>
    </row>
    <row r="649" spans="1:7" ht="12.75" customHeight="1" x14ac:dyDescent="0.25">
      <c r="A649" s="6"/>
      <c r="B649" s="6"/>
      <c r="C649" s="6"/>
      <c r="D649" s="6"/>
      <c r="E649" s="7"/>
      <c r="F649" s="6"/>
      <c r="G649" s="6"/>
    </row>
    <row r="650" spans="1:7" ht="12.75" customHeight="1" x14ac:dyDescent="0.25">
      <c r="A650" s="6"/>
      <c r="B650" s="6"/>
      <c r="C650" s="6"/>
      <c r="D650" s="6"/>
      <c r="E650" s="7"/>
      <c r="F650" s="6"/>
      <c r="G650" s="6"/>
    </row>
    <row r="651" spans="1:7" ht="12.75" customHeight="1" x14ac:dyDescent="0.25">
      <c r="A651" s="6"/>
      <c r="B651" s="6"/>
      <c r="C651" s="6"/>
      <c r="D651" s="6"/>
      <c r="E651" s="7"/>
      <c r="F651" s="6"/>
      <c r="G651" s="6"/>
    </row>
    <row r="652" spans="1:7" ht="12.75" customHeight="1" x14ac:dyDescent="0.25">
      <c r="A652" s="6"/>
      <c r="B652" s="6"/>
      <c r="C652" s="6"/>
      <c r="D652" s="6"/>
      <c r="E652" s="7"/>
      <c r="F652" s="6"/>
      <c r="G652" s="6"/>
    </row>
    <row r="653" spans="1:7" ht="12.75" customHeight="1" x14ac:dyDescent="0.25">
      <c r="A653" s="6"/>
      <c r="B653" s="6"/>
      <c r="C653" s="6"/>
      <c r="D653" s="6"/>
      <c r="E653" s="7"/>
      <c r="F653" s="6"/>
      <c r="G653" s="6"/>
    </row>
    <row r="654" spans="1:7" ht="12.75" customHeight="1" x14ac:dyDescent="0.25">
      <c r="A654" s="6"/>
      <c r="B654" s="6"/>
      <c r="C654" s="6"/>
      <c r="D654" s="6"/>
      <c r="E654" s="7"/>
      <c r="F654" s="6"/>
      <c r="G654" s="6"/>
    </row>
    <row r="655" spans="1:7" ht="12.75" customHeight="1" x14ac:dyDescent="0.25">
      <c r="A655" s="6"/>
      <c r="B655" s="6"/>
      <c r="C655" s="6"/>
      <c r="D655" s="6"/>
      <c r="E655" s="7"/>
      <c r="F655" s="6"/>
      <c r="G655" s="6"/>
    </row>
    <row r="656" spans="1:7" ht="12.75" customHeight="1" x14ac:dyDescent="0.25">
      <c r="A656" s="6"/>
      <c r="B656" s="6"/>
      <c r="C656" s="6"/>
      <c r="D656" s="6"/>
      <c r="E656" s="7"/>
      <c r="F656" s="6"/>
      <c r="G656" s="6"/>
    </row>
    <row r="657" spans="1:7" ht="12.75" customHeight="1" x14ac:dyDescent="0.25">
      <c r="A657" s="6"/>
      <c r="B657" s="6"/>
      <c r="C657" s="6"/>
      <c r="D657" s="6"/>
      <c r="E657" s="7"/>
      <c r="F657" s="6"/>
      <c r="G657" s="6"/>
    </row>
    <row r="658" spans="1:7" ht="12.75" customHeight="1" x14ac:dyDescent="0.25">
      <c r="A658" s="6"/>
      <c r="B658" s="6"/>
      <c r="C658" s="6"/>
      <c r="D658" s="6"/>
      <c r="E658" s="7"/>
      <c r="F658" s="6"/>
      <c r="G658" s="6"/>
    </row>
    <row r="659" spans="1:7" ht="12.75" customHeight="1" x14ac:dyDescent="0.25">
      <c r="A659" s="6"/>
      <c r="B659" s="6"/>
      <c r="C659" s="6"/>
      <c r="D659" s="6"/>
      <c r="E659" s="7"/>
      <c r="F659" s="6"/>
      <c r="G659" s="6"/>
    </row>
    <row r="660" spans="1:7" ht="12.75" customHeight="1" x14ac:dyDescent="0.25">
      <c r="A660" s="6"/>
      <c r="B660" s="6"/>
      <c r="C660" s="6"/>
      <c r="D660" s="6"/>
      <c r="E660" s="7"/>
      <c r="F660" s="6"/>
      <c r="G660" s="6"/>
    </row>
    <row r="661" spans="1:7" ht="12.75" customHeight="1" x14ac:dyDescent="0.25">
      <c r="A661" s="6"/>
      <c r="B661" s="6"/>
      <c r="C661" s="6"/>
      <c r="D661" s="6"/>
      <c r="E661" s="7"/>
      <c r="F661" s="6"/>
      <c r="G661" s="6"/>
    </row>
    <row r="662" spans="1:7" ht="12.75" customHeight="1" x14ac:dyDescent="0.25">
      <c r="A662" s="6"/>
      <c r="B662" s="6"/>
      <c r="C662" s="6"/>
      <c r="D662" s="6"/>
      <c r="E662" s="7"/>
      <c r="F662" s="6"/>
      <c r="G662" s="6"/>
    </row>
    <row r="663" spans="1:7" ht="12.75" customHeight="1" x14ac:dyDescent="0.25">
      <c r="A663" s="6"/>
      <c r="B663" s="6"/>
      <c r="C663" s="6"/>
      <c r="D663" s="6"/>
      <c r="E663" s="7"/>
      <c r="F663" s="6"/>
      <c r="G663" s="6"/>
    </row>
    <row r="664" spans="1:7" ht="12.75" customHeight="1" x14ac:dyDescent="0.25">
      <c r="A664" s="6"/>
      <c r="B664" s="6"/>
      <c r="C664" s="6"/>
      <c r="D664" s="6"/>
      <c r="E664" s="7"/>
      <c r="F664" s="6"/>
      <c r="G664" s="6"/>
    </row>
    <row r="665" spans="1:7" ht="12.75" customHeight="1" x14ac:dyDescent="0.25">
      <c r="A665" s="6"/>
      <c r="B665" s="6"/>
      <c r="C665" s="6"/>
      <c r="D665" s="6"/>
      <c r="E665" s="7"/>
      <c r="F665" s="6"/>
      <c r="G665" s="6"/>
    </row>
    <row r="666" spans="1:7" ht="12.75" customHeight="1" x14ac:dyDescent="0.25">
      <c r="A666" s="6"/>
      <c r="B666" s="6"/>
      <c r="C666" s="6"/>
      <c r="D666" s="6"/>
      <c r="E666" s="7"/>
      <c r="F666" s="6"/>
      <c r="G666" s="6"/>
    </row>
    <row r="667" spans="1:7" ht="12.75" customHeight="1" x14ac:dyDescent="0.25">
      <c r="A667" s="6"/>
      <c r="B667" s="6"/>
      <c r="C667" s="6"/>
      <c r="D667" s="6"/>
      <c r="E667" s="7"/>
      <c r="F667" s="6"/>
      <c r="G667" s="6"/>
    </row>
    <row r="668" spans="1:7" ht="12.75" customHeight="1" x14ac:dyDescent="0.25">
      <c r="A668" s="6"/>
      <c r="B668" s="6"/>
      <c r="C668" s="6"/>
      <c r="D668" s="6"/>
      <c r="E668" s="7"/>
      <c r="F668" s="6"/>
      <c r="G668" s="6"/>
    </row>
    <row r="669" spans="1:7" ht="12.75" customHeight="1" x14ac:dyDescent="0.25">
      <c r="A669" s="6"/>
      <c r="B669" s="6"/>
      <c r="C669" s="6"/>
      <c r="D669" s="6"/>
      <c r="E669" s="7"/>
      <c r="F669" s="6"/>
      <c r="G669" s="6"/>
    </row>
    <row r="670" spans="1:7" ht="12.75" customHeight="1" x14ac:dyDescent="0.25">
      <c r="A670" s="6"/>
      <c r="B670" s="6"/>
      <c r="C670" s="6"/>
      <c r="D670" s="6"/>
      <c r="E670" s="7"/>
      <c r="F670" s="6"/>
      <c r="G670" s="6"/>
    </row>
    <row r="671" spans="1:7" ht="12.75" customHeight="1" x14ac:dyDescent="0.25">
      <c r="A671" s="6"/>
      <c r="B671" s="6"/>
      <c r="C671" s="6"/>
      <c r="D671" s="6"/>
      <c r="E671" s="7"/>
      <c r="F671" s="6"/>
      <c r="G671" s="6"/>
    </row>
    <row r="672" spans="1:7" ht="12.75" customHeight="1" x14ac:dyDescent="0.25">
      <c r="A672" s="6"/>
      <c r="B672" s="6"/>
      <c r="C672" s="6"/>
      <c r="D672" s="6"/>
      <c r="E672" s="7"/>
      <c r="F672" s="6"/>
      <c r="G672" s="6"/>
    </row>
    <row r="673" spans="1:7" ht="12.75" customHeight="1" x14ac:dyDescent="0.25">
      <c r="A673" s="6"/>
      <c r="B673" s="6"/>
      <c r="C673" s="6"/>
      <c r="D673" s="6"/>
      <c r="E673" s="7"/>
      <c r="F673" s="6"/>
      <c r="G673" s="6"/>
    </row>
    <row r="674" spans="1:7" ht="12.75" customHeight="1" x14ac:dyDescent="0.25">
      <c r="A674" s="6"/>
      <c r="B674" s="6"/>
      <c r="C674" s="6"/>
      <c r="D674" s="6"/>
      <c r="E674" s="7"/>
      <c r="F674" s="6"/>
      <c r="G674" s="6"/>
    </row>
    <row r="675" spans="1:7" ht="12.75" customHeight="1" x14ac:dyDescent="0.25">
      <c r="A675" s="6"/>
      <c r="B675" s="6"/>
      <c r="C675" s="6"/>
      <c r="D675" s="6"/>
      <c r="E675" s="7"/>
      <c r="F675" s="6"/>
      <c r="G675" s="6"/>
    </row>
    <row r="676" spans="1:7" ht="12.75" customHeight="1" x14ac:dyDescent="0.25">
      <c r="A676" s="6"/>
      <c r="B676" s="6"/>
      <c r="C676" s="6"/>
      <c r="D676" s="6"/>
      <c r="E676" s="7"/>
      <c r="F676" s="6"/>
      <c r="G676" s="6"/>
    </row>
    <row r="677" spans="1:7" ht="12.75" customHeight="1" x14ac:dyDescent="0.25">
      <c r="A677" s="6"/>
      <c r="B677" s="6"/>
      <c r="C677" s="6"/>
      <c r="D677" s="6"/>
      <c r="E677" s="7"/>
      <c r="F677" s="6"/>
      <c r="G677" s="6"/>
    </row>
    <row r="678" spans="1:7" ht="12.75" customHeight="1" x14ac:dyDescent="0.25">
      <c r="A678" s="6"/>
      <c r="B678" s="6"/>
      <c r="C678" s="6"/>
      <c r="D678" s="6"/>
      <c r="E678" s="7"/>
      <c r="F678" s="6"/>
      <c r="G678" s="6"/>
    </row>
    <row r="679" spans="1:7" ht="12.75" customHeight="1" x14ac:dyDescent="0.25">
      <c r="A679" s="6"/>
      <c r="B679" s="6"/>
      <c r="C679" s="6"/>
      <c r="D679" s="6"/>
      <c r="E679" s="7"/>
      <c r="F679" s="6"/>
      <c r="G679" s="6"/>
    </row>
    <row r="680" spans="1:7" ht="12.75" customHeight="1" x14ac:dyDescent="0.25">
      <c r="A680" s="6"/>
      <c r="B680" s="6"/>
      <c r="C680" s="6"/>
      <c r="D680" s="6"/>
      <c r="E680" s="7"/>
      <c r="F680" s="6"/>
      <c r="G680" s="6"/>
    </row>
    <row r="681" spans="1:7" ht="12.75" customHeight="1" x14ac:dyDescent="0.25">
      <c r="A681" s="6"/>
      <c r="B681" s="6"/>
      <c r="C681" s="6"/>
      <c r="D681" s="6"/>
      <c r="E681" s="7"/>
      <c r="F681" s="6"/>
      <c r="G681" s="6"/>
    </row>
    <row r="682" spans="1:7" ht="12.75" customHeight="1" x14ac:dyDescent="0.25">
      <c r="A682" s="6"/>
      <c r="B682" s="6"/>
      <c r="C682" s="6"/>
      <c r="D682" s="6"/>
      <c r="E682" s="7"/>
      <c r="F682" s="6"/>
      <c r="G682" s="6"/>
    </row>
    <row r="683" spans="1:7" ht="12.75" customHeight="1" x14ac:dyDescent="0.25">
      <c r="A683" s="6"/>
      <c r="B683" s="6"/>
      <c r="C683" s="6"/>
      <c r="D683" s="6"/>
      <c r="E683" s="7"/>
      <c r="F683" s="6"/>
      <c r="G683" s="6"/>
    </row>
    <row r="684" spans="1:7" ht="12.75" customHeight="1" x14ac:dyDescent="0.25">
      <c r="A684" s="6"/>
      <c r="B684" s="6"/>
      <c r="C684" s="6"/>
      <c r="D684" s="6"/>
      <c r="E684" s="7"/>
      <c r="F684" s="6"/>
      <c r="G684" s="6"/>
    </row>
    <row r="685" spans="1:7" ht="12.75" customHeight="1" x14ac:dyDescent="0.25">
      <c r="A685" s="6"/>
      <c r="B685" s="6"/>
      <c r="C685" s="6"/>
      <c r="D685" s="6"/>
      <c r="E685" s="7"/>
      <c r="F685" s="6"/>
      <c r="G685" s="6"/>
    </row>
    <row r="686" spans="1:7" ht="12.75" customHeight="1" x14ac:dyDescent="0.25">
      <c r="A686" s="6"/>
      <c r="B686" s="6"/>
      <c r="C686" s="6"/>
      <c r="D686" s="6"/>
      <c r="E686" s="7"/>
      <c r="F686" s="6"/>
      <c r="G686" s="6"/>
    </row>
    <row r="687" spans="1:7" ht="12.75" customHeight="1" x14ac:dyDescent="0.25">
      <c r="A687" s="6"/>
      <c r="B687" s="6"/>
      <c r="C687" s="6"/>
      <c r="D687" s="6"/>
      <c r="E687" s="7"/>
      <c r="F687" s="6"/>
      <c r="G687" s="6"/>
    </row>
    <row r="688" spans="1:7" ht="12.75" customHeight="1" x14ac:dyDescent="0.25">
      <c r="A688" s="6"/>
      <c r="B688" s="6"/>
      <c r="C688" s="6"/>
      <c r="D688" s="6"/>
      <c r="E688" s="7"/>
      <c r="F688" s="6"/>
      <c r="G688" s="6"/>
    </row>
    <row r="689" spans="1:7" ht="12.75" customHeight="1" x14ac:dyDescent="0.25">
      <c r="A689" s="6"/>
      <c r="B689" s="6"/>
      <c r="C689" s="6"/>
      <c r="D689" s="6"/>
      <c r="E689" s="7"/>
      <c r="F689" s="6"/>
      <c r="G689" s="6"/>
    </row>
    <row r="690" spans="1:7" ht="12.75" customHeight="1" x14ac:dyDescent="0.25">
      <c r="A690" s="6"/>
      <c r="B690" s="6"/>
      <c r="C690" s="6"/>
      <c r="D690" s="6"/>
      <c r="E690" s="7"/>
      <c r="F690" s="6"/>
      <c r="G690" s="6"/>
    </row>
    <row r="691" spans="1:7" ht="12.75" customHeight="1" x14ac:dyDescent="0.25">
      <c r="A691" s="6"/>
      <c r="B691" s="6"/>
      <c r="C691" s="6"/>
      <c r="D691" s="6"/>
      <c r="E691" s="7"/>
      <c r="F691" s="6"/>
      <c r="G691" s="6"/>
    </row>
    <row r="692" spans="1:7" ht="12.75" customHeight="1" x14ac:dyDescent="0.25">
      <c r="A692" s="6"/>
      <c r="B692" s="6"/>
      <c r="C692" s="6"/>
      <c r="D692" s="6"/>
      <c r="E692" s="7"/>
      <c r="F692" s="6"/>
      <c r="G692" s="6"/>
    </row>
    <row r="693" spans="1:7" ht="12.75" customHeight="1" x14ac:dyDescent="0.25">
      <c r="A693" s="6"/>
      <c r="B693" s="6"/>
      <c r="C693" s="6"/>
      <c r="D693" s="6"/>
      <c r="E693" s="7"/>
      <c r="F693" s="6"/>
      <c r="G693" s="6"/>
    </row>
    <row r="694" spans="1:7" ht="12.75" customHeight="1" x14ac:dyDescent="0.25">
      <c r="A694" s="6"/>
      <c r="B694" s="6"/>
      <c r="C694" s="6"/>
      <c r="D694" s="6"/>
      <c r="E694" s="7"/>
      <c r="F694" s="6"/>
      <c r="G694" s="6"/>
    </row>
    <row r="695" spans="1:7" ht="12.75" customHeight="1" x14ac:dyDescent="0.25">
      <c r="A695" s="6"/>
      <c r="B695" s="6"/>
      <c r="C695" s="6"/>
      <c r="D695" s="6"/>
      <c r="E695" s="7"/>
      <c r="F695" s="6"/>
      <c r="G695" s="6"/>
    </row>
    <row r="696" spans="1:7" ht="12.75" customHeight="1" x14ac:dyDescent="0.25">
      <c r="A696" s="6"/>
      <c r="B696" s="6"/>
      <c r="C696" s="6"/>
      <c r="D696" s="6"/>
      <c r="E696" s="7"/>
      <c r="F696" s="6"/>
      <c r="G696" s="6"/>
    </row>
    <row r="697" spans="1:7" ht="12.75" customHeight="1" x14ac:dyDescent="0.25">
      <c r="A697" s="6"/>
      <c r="B697" s="6"/>
      <c r="C697" s="6"/>
      <c r="D697" s="6"/>
      <c r="E697" s="7"/>
      <c r="F697" s="6"/>
      <c r="G697" s="6"/>
    </row>
    <row r="698" spans="1:7" ht="12.75" customHeight="1" x14ac:dyDescent="0.25">
      <c r="A698" s="6"/>
      <c r="B698" s="6"/>
      <c r="C698" s="6"/>
      <c r="D698" s="6"/>
      <c r="E698" s="7"/>
      <c r="F698" s="6"/>
      <c r="G698" s="6"/>
    </row>
    <row r="699" spans="1:7" ht="12.75" customHeight="1" x14ac:dyDescent="0.25">
      <c r="A699" s="6"/>
      <c r="B699" s="6"/>
      <c r="C699" s="6"/>
      <c r="D699" s="6"/>
      <c r="E699" s="7"/>
      <c r="F699" s="6"/>
      <c r="G699" s="6"/>
    </row>
    <row r="700" spans="1:7" ht="12.75" customHeight="1" x14ac:dyDescent="0.25">
      <c r="A700" s="6"/>
      <c r="B700" s="6"/>
      <c r="C700" s="6"/>
      <c r="D700" s="6"/>
      <c r="E700" s="7"/>
      <c r="F700" s="6"/>
      <c r="G700" s="6"/>
    </row>
    <row r="701" spans="1:7" ht="12.75" customHeight="1" x14ac:dyDescent="0.25">
      <c r="A701" s="6"/>
      <c r="B701" s="6"/>
      <c r="C701" s="6"/>
      <c r="D701" s="6"/>
      <c r="E701" s="7"/>
      <c r="F701" s="6"/>
      <c r="G701" s="6"/>
    </row>
    <row r="702" spans="1:7" ht="12.75" customHeight="1" x14ac:dyDescent="0.25">
      <c r="A702" s="6"/>
      <c r="B702" s="6"/>
      <c r="C702" s="6"/>
      <c r="D702" s="6"/>
      <c r="E702" s="7"/>
      <c r="F702" s="6"/>
      <c r="G702" s="6"/>
    </row>
    <row r="703" spans="1:7" ht="12.75" customHeight="1" x14ac:dyDescent="0.25">
      <c r="A703" s="6"/>
      <c r="B703" s="6"/>
      <c r="C703" s="6"/>
      <c r="D703" s="6"/>
      <c r="E703" s="7"/>
      <c r="F703" s="6"/>
      <c r="G703" s="6"/>
    </row>
    <row r="704" spans="1:7" ht="12.75" customHeight="1" x14ac:dyDescent="0.25">
      <c r="A704" s="6"/>
      <c r="B704" s="6"/>
      <c r="C704" s="6"/>
      <c r="D704" s="6"/>
      <c r="E704" s="7"/>
      <c r="F704" s="6"/>
      <c r="G704" s="6"/>
    </row>
    <row r="705" spans="1:7" ht="12.75" customHeight="1" x14ac:dyDescent="0.25">
      <c r="A705" s="6"/>
      <c r="B705" s="6"/>
      <c r="C705" s="6"/>
      <c r="D705" s="6"/>
      <c r="E705" s="7"/>
      <c r="F705" s="6"/>
      <c r="G705" s="6"/>
    </row>
    <row r="706" spans="1:7" ht="12.75" customHeight="1" x14ac:dyDescent="0.25">
      <c r="A706" s="6"/>
      <c r="B706" s="6"/>
      <c r="C706" s="6"/>
      <c r="D706" s="6"/>
      <c r="E706" s="7"/>
      <c r="F706" s="6"/>
      <c r="G706" s="6"/>
    </row>
    <row r="707" spans="1:7" ht="12.75" customHeight="1" x14ac:dyDescent="0.25">
      <c r="A707" s="6"/>
      <c r="B707" s="6"/>
      <c r="C707" s="6"/>
      <c r="D707" s="6"/>
      <c r="E707" s="7"/>
      <c r="F707" s="6"/>
      <c r="G707" s="6"/>
    </row>
    <row r="708" spans="1:7" ht="12.75" customHeight="1" x14ac:dyDescent="0.25">
      <c r="A708" s="6"/>
      <c r="B708" s="6"/>
      <c r="C708" s="6"/>
      <c r="D708" s="6"/>
      <c r="E708" s="7"/>
      <c r="F708" s="6"/>
      <c r="G708" s="6"/>
    </row>
    <row r="709" spans="1:7" ht="12.75" customHeight="1" x14ac:dyDescent="0.25">
      <c r="A709" s="6"/>
      <c r="B709" s="6"/>
      <c r="C709" s="6"/>
      <c r="D709" s="6"/>
      <c r="E709" s="7"/>
      <c r="F709" s="6"/>
      <c r="G709" s="6"/>
    </row>
    <row r="710" spans="1:7" ht="12.75" customHeight="1" x14ac:dyDescent="0.25">
      <c r="A710" s="6"/>
      <c r="B710" s="6"/>
      <c r="C710" s="6"/>
      <c r="D710" s="6"/>
      <c r="E710" s="7"/>
      <c r="F710" s="6"/>
      <c r="G710" s="6"/>
    </row>
    <row r="711" spans="1:7" ht="12.75" customHeight="1" x14ac:dyDescent="0.25">
      <c r="A711" s="6"/>
      <c r="B711" s="6"/>
      <c r="C711" s="6"/>
      <c r="D711" s="6"/>
      <c r="E711" s="7"/>
      <c r="F711" s="6"/>
      <c r="G711" s="6"/>
    </row>
    <row r="712" spans="1:7" ht="12.75" customHeight="1" x14ac:dyDescent="0.25">
      <c r="A712" s="6"/>
      <c r="B712" s="6"/>
      <c r="C712" s="6"/>
      <c r="D712" s="6"/>
      <c r="E712" s="7"/>
      <c r="F712" s="6"/>
      <c r="G712" s="6"/>
    </row>
    <row r="713" spans="1:7" ht="12.75" customHeight="1" x14ac:dyDescent="0.25">
      <c r="A713" s="6"/>
      <c r="B713" s="6"/>
      <c r="C713" s="6"/>
      <c r="D713" s="6"/>
      <c r="E713" s="7"/>
      <c r="F713" s="6"/>
      <c r="G713" s="6"/>
    </row>
    <row r="714" spans="1:7" ht="12.75" customHeight="1" x14ac:dyDescent="0.25">
      <c r="A714" s="6"/>
      <c r="B714" s="6"/>
      <c r="C714" s="6"/>
      <c r="D714" s="6"/>
      <c r="E714" s="7"/>
      <c r="F714" s="6"/>
      <c r="G714" s="6"/>
    </row>
    <row r="715" spans="1:7" ht="12.75" customHeight="1" x14ac:dyDescent="0.25">
      <c r="A715" s="6"/>
      <c r="B715" s="6"/>
      <c r="C715" s="6"/>
      <c r="D715" s="6"/>
      <c r="E715" s="7"/>
      <c r="F715" s="6"/>
      <c r="G715" s="6"/>
    </row>
    <row r="716" spans="1:7" ht="12.75" customHeight="1" x14ac:dyDescent="0.25">
      <c r="A716" s="6"/>
      <c r="B716" s="6"/>
      <c r="C716" s="6"/>
      <c r="D716" s="6"/>
      <c r="E716" s="7"/>
      <c r="F716" s="6"/>
      <c r="G716" s="6"/>
    </row>
    <row r="717" spans="1:7" ht="12.75" customHeight="1" x14ac:dyDescent="0.25">
      <c r="A717" s="6"/>
      <c r="B717" s="6"/>
      <c r="C717" s="6"/>
      <c r="D717" s="6"/>
      <c r="E717" s="7"/>
      <c r="F717" s="6"/>
      <c r="G717" s="6"/>
    </row>
    <row r="718" spans="1:7" ht="12.75" customHeight="1" x14ac:dyDescent="0.25">
      <c r="A718" s="6"/>
      <c r="B718" s="6"/>
      <c r="C718" s="6"/>
      <c r="D718" s="6"/>
      <c r="E718" s="7"/>
      <c r="F718" s="6"/>
      <c r="G718" s="6"/>
    </row>
    <row r="719" spans="1:7" ht="12.75" customHeight="1" x14ac:dyDescent="0.25">
      <c r="A719" s="6"/>
      <c r="B719" s="6"/>
      <c r="C719" s="6"/>
      <c r="D719" s="6"/>
      <c r="E719" s="7"/>
      <c r="F719" s="6"/>
      <c r="G719" s="6"/>
    </row>
    <row r="720" spans="1:7" ht="12.75" customHeight="1" x14ac:dyDescent="0.25">
      <c r="A720" s="6"/>
      <c r="B720" s="6"/>
      <c r="C720" s="6"/>
      <c r="D720" s="6"/>
      <c r="E720" s="7"/>
      <c r="F720" s="6"/>
      <c r="G720" s="6"/>
    </row>
    <row r="721" spans="1:7" ht="12.75" customHeight="1" x14ac:dyDescent="0.25">
      <c r="A721" s="6"/>
      <c r="B721" s="6"/>
      <c r="C721" s="6"/>
      <c r="D721" s="6"/>
      <c r="E721" s="7"/>
      <c r="F721" s="6"/>
      <c r="G721" s="6"/>
    </row>
    <row r="722" spans="1:7" ht="12.75" customHeight="1" x14ac:dyDescent="0.25">
      <c r="A722" s="6"/>
      <c r="B722" s="6"/>
      <c r="C722" s="6"/>
      <c r="D722" s="6"/>
      <c r="E722" s="7"/>
      <c r="F722" s="6"/>
      <c r="G722" s="6"/>
    </row>
    <row r="723" spans="1:7" ht="12.75" customHeight="1" x14ac:dyDescent="0.25">
      <c r="A723" s="6"/>
      <c r="B723" s="6"/>
      <c r="C723" s="6"/>
      <c r="D723" s="6"/>
      <c r="E723" s="7"/>
      <c r="F723" s="6"/>
      <c r="G723" s="6"/>
    </row>
    <row r="724" spans="1:7" ht="12.75" customHeight="1" x14ac:dyDescent="0.25">
      <c r="A724" s="6"/>
      <c r="B724" s="6"/>
      <c r="C724" s="6"/>
      <c r="D724" s="6"/>
      <c r="E724" s="7"/>
      <c r="F724" s="6"/>
      <c r="G724" s="6"/>
    </row>
    <row r="725" spans="1:7" ht="12.75" customHeight="1" x14ac:dyDescent="0.25">
      <c r="A725" s="6"/>
      <c r="B725" s="6"/>
      <c r="C725" s="6"/>
      <c r="D725" s="6"/>
      <c r="E725" s="7"/>
      <c r="F725" s="6"/>
      <c r="G725" s="6"/>
    </row>
    <row r="726" spans="1:7" ht="12.75" customHeight="1" x14ac:dyDescent="0.25">
      <c r="A726" s="6"/>
      <c r="B726" s="6"/>
      <c r="C726" s="6"/>
      <c r="D726" s="6"/>
      <c r="E726" s="7"/>
      <c r="F726" s="6"/>
      <c r="G726" s="6"/>
    </row>
    <row r="727" spans="1:7" ht="12.75" customHeight="1" x14ac:dyDescent="0.25">
      <c r="A727" s="6"/>
      <c r="B727" s="6"/>
      <c r="C727" s="6"/>
      <c r="D727" s="6"/>
      <c r="E727" s="7"/>
      <c r="F727" s="6"/>
      <c r="G727" s="6"/>
    </row>
    <row r="728" spans="1:7" ht="12.75" customHeight="1" x14ac:dyDescent="0.25">
      <c r="A728" s="6"/>
      <c r="B728" s="6"/>
      <c r="C728" s="6"/>
      <c r="D728" s="6"/>
      <c r="E728" s="7"/>
      <c r="F728" s="6"/>
      <c r="G728" s="6"/>
    </row>
    <row r="729" spans="1:7" ht="12.75" customHeight="1" x14ac:dyDescent="0.25">
      <c r="A729" s="6"/>
      <c r="B729" s="6"/>
      <c r="C729" s="6"/>
      <c r="D729" s="6"/>
      <c r="E729" s="7"/>
      <c r="F729" s="6"/>
      <c r="G729" s="6"/>
    </row>
    <row r="730" spans="1:7" ht="12.75" customHeight="1" x14ac:dyDescent="0.25">
      <c r="A730" s="6"/>
      <c r="B730" s="6"/>
      <c r="C730" s="6"/>
      <c r="D730" s="6"/>
      <c r="E730" s="7"/>
      <c r="F730" s="6"/>
      <c r="G730" s="6"/>
    </row>
    <row r="731" spans="1:7" ht="12.75" customHeight="1" x14ac:dyDescent="0.25">
      <c r="A731" s="6"/>
      <c r="B731" s="6"/>
      <c r="C731" s="6"/>
      <c r="D731" s="6"/>
      <c r="E731" s="7"/>
      <c r="F731" s="6"/>
      <c r="G731" s="6"/>
    </row>
    <row r="732" spans="1:7" ht="12.75" customHeight="1" x14ac:dyDescent="0.25">
      <c r="A732" s="6"/>
      <c r="B732" s="6"/>
      <c r="C732" s="6"/>
      <c r="D732" s="6"/>
      <c r="E732" s="7"/>
      <c r="F732" s="6"/>
      <c r="G732" s="6"/>
    </row>
    <row r="733" spans="1:7" ht="12.75" customHeight="1" x14ac:dyDescent="0.25">
      <c r="A733" s="6"/>
      <c r="B733" s="6"/>
      <c r="C733" s="6"/>
      <c r="D733" s="6"/>
      <c r="E733" s="7"/>
      <c r="F733" s="6"/>
      <c r="G733" s="6"/>
    </row>
    <row r="734" spans="1:7" ht="12.75" customHeight="1" x14ac:dyDescent="0.25">
      <c r="A734" s="6"/>
      <c r="B734" s="6"/>
      <c r="C734" s="6"/>
      <c r="D734" s="6"/>
      <c r="E734" s="7"/>
      <c r="F734" s="6"/>
      <c r="G734" s="6"/>
    </row>
    <row r="735" spans="1:7" ht="12.75" customHeight="1" x14ac:dyDescent="0.25">
      <c r="A735" s="6"/>
      <c r="B735" s="6"/>
      <c r="C735" s="6"/>
      <c r="D735" s="6"/>
      <c r="E735" s="7"/>
      <c r="F735" s="6"/>
      <c r="G735" s="6"/>
    </row>
    <row r="736" spans="1:7" ht="12.75" customHeight="1" x14ac:dyDescent="0.25">
      <c r="A736" s="6"/>
      <c r="B736" s="6"/>
      <c r="C736" s="6"/>
      <c r="D736" s="6"/>
      <c r="E736" s="7"/>
      <c r="F736" s="6"/>
      <c r="G736" s="6"/>
    </row>
    <row r="737" spans="1:7" ht="12.75" customHeight="1" x14ac:dyDescent="0.25">
      <c r="A737" s="6"/>
      <c r="B737" s="6"/>
      <c r="C737" s="6"/>
      <c r="D737" s="6"/>
      <c r="E737" s="7"/>
      <c r="F737" s="6"/>
      <c r="G737" s="6"/>
    </row>
    <row r="738" spans="1:7" ht="12.75" customHeight="1" x14ac:dyDescent="0.25">
      <c r="A738" s="6"/>
      <c r="B738" s="6"/>
      <c r="C738" s="6"/>
      <c r="D738" s="6"/>
      <c r="E738" s="7"/>
      <c r="F738" s="6"/>
      <c r="G738" s="6"/>
    </row>
    <row r="739" spans="1:7" ht="12.75" customHeight="1" x14ac:dyDescent="0.25">
      <c r="A739" s="6"/>
      <c r="B739" s="6"/>
      <c r="C739" s="6"/>
      <c r="D739" s="6"/>
      <c r="E739" s="7"/>
      <c r="F739" s="6"/>
      <c r="G739" s="6"/>
    </row>
    <row r="740" spans="1:7" ht="12.75" customHeight="1" x14ac:dyDescent="0.25">
      <c r="A740" s="6"/>
      <c r="B740" s="6"/>
      <c r="C740" s="6"/>
      <c r="D740" s="6"/>
      <c r="E740" s="7"/>
      <c r="F740" s="6"/>
      <c r="G740" s="6"/>
    </row>
    <row r="741" spans="1:7" ht="12.75" customHeight="1" x14ac:dyDescent="0.25">
      <c r="A741" s="6"/>
      <c r="B741" s="6"/>
      <c r="C741" s="6"/>
      <c r="D741" s="6"/>
      <c r="E741" s="7"/>
      <c r="F741" s="6"/>
      <c r="G741" s="6"/>
    </row>
    <row r="742" spans="1:7" ht="12.75" customHeight="1" x14ac:dyDescent="0.25">
      <c r="A742" s="6"/>
      <c r="B742" s="6"/>
      <c r="C742" s="6"/>
      <c r="D742" s="6"/>
      <c r="E742" s="7"/>
      <c r="F742" s="6"/>
      <c r="G742" s="6"/>
    </row>
    <row r="743" spans="1:7" ht="12.75" customHeight="1" x14ac:dyDescent="0.25">
      <c r="A743" s="6"/>
      <c r="B743" s="6"/>
      <c r="C743" s="6"/>
      <c r="D743" s="6"/>
      <c r="E743" s="7"/>
      <c r="F743" s="6"/>
      <c r="G743" s="6"/>
    </row>
    <row r="744" spans="1:7" ht="12.75" customHeight="1" x14ac:dyDescent="0.25">
      <c r="A744" s="6"/>
      <c r="B744" s="6"/>
      <c r="C744" s="6"/>
      <c r="D744" s="6"/>
      <c r="E744" s="7"/>
      <c r="F744" s="6"/>
      <c r="G744" s="6"/>
    </row>
    <row r="745" spans="1:7" ht="12.75" customHeight="1" x14ac:dyDescent="0.25">
      <c r="A745" s="6"/>
      <c r="B745" s="6"/>
      <c r="C745" s="6"/>
      <c r="D745" s="6"/>
      <c r="E745" s="7"/>
      <c r="F745" s="6"/>
      <c r="G745" s="6"/>
    </row>
    <row r="746" spans="1:7" ht="12.75" customHeight="1" x14ac:dyDescent="0.25">
      <c r="A746" s="6"/>
      <c r="B746" s="6"/>
      <c r="C746" s="6"/>
      <c r="D746" s="6"/>
      <c r="E746" s="7"/>
      <c r="F746" s="6"/>
      <c r="G746" s="6"/>
    </row>
    <row r="747" spans="1:7" ht="12.75" customHeight="1" x14ac:dyDescent="0.25">
      <c r="A747" s="6"/>
      <c r="B747" s="6"/>
      <c r="C747" s="6"/>
      <c r="D747" s="6"/>
      <c r="E747" s="7"/>
      <c r="F747" s="6"/>
      <c r="G747" s="6"/>
    </row>
    <row r="748" spans="1:7" ht="12.75" customHeight="1" x14ac:dyDescent="0.25">
      <c r="A748" s="6"/>
      <c r="B748" s="6"/>
      <c r="C748" s="6"/>
      <c r="D748" s="6"/>
      <c r="E748" s="7"/>
      <c r="F748" s="6"/>
      <c r="G748" s="6"/>
    </row>
    <row r="749" spans="1:7" ht="12.75" customHeight="1" x14ac:dyDescent="0.25">
      <c r="A749" s="6"/>
      <c r="B749" s="6"/>
      <c r="C749" s="6"/>
      <c r="D749" s="6"/>
      <c r="E749" s="7"/>
      <c r="F749" s="6"/>
      <c r="G749" s="6"/>
    </row>
    <row r="750" spans="1:7" ht="12.75" customHeight="1" x14ac:dyDescent="0.25">
      <c r="A750" s="6"/>
      <c r="B750" s="6"/>
      <c r="C750" s="6"/>
      <c r="D750" s="6"/>
      <c r="E750" s="7"/>
      <c r="F750" s="6"/>
      <c r="G750" s="6"/>
    </row>
    <row r="751" spans="1:7" ht="12.75" customHeight="1" x14ac:dyDescent="0.25">
      <c r="A751" s="6"/>
      <c r="B751" s="6"/>
      <c r="C751" s="6"/>
      <c r="D751" s="6"/>
      <c r="E751" s="7"/>
      <c r="F751" s="6"/>
      <c r="G751" s="6"/>
    </row>
    <row r="752" spans="1:7" ht="12.75" customHeight="1" x14ac:dyDescent="0.25">
      <c r="A752" s="6"/>
      <c r="B752" s="6"/>
      <c r="C752" s="6"/>
      <c r="D752" s="6"/>
      <c r="E752" s="7"/>
      <c r="F752" s="6"/>
      <c r="G752" s="6"/>
    </row>
    <row r="753" spans="1:7" ht="12.75" customHeight="1" x14ac:dyDescent="0.25">
      <c r="A753" s="6"/>
      <c r="B753" s="6"/>
      <c r="C753" s="6"/>
      <c r="D753" s="6"/>
      <c r="E753" s="7"/>
      <c r="F753" s="6"/>
      <c r="G753" s="6"/>
    </row>
    <row r="754" spans="1:7" ht="12.75" customHeight="1" x14ac:dyDescent="0.25">
      <c r="A754" s="6"/>
      <c r="B754" s="6"/>
      <c r="C754" s="6"/>
      <c r="D754" s="6"/>
      <c r="E754" s="7"/>
      <c r="F754" s="6"/>
      <c r="G754" s="6"/>
    </row>
    <row r="755" spans="1:7" ht="12.75" customHeight="1" x14ac:dyDescent="0.25">
      <c r="A755" s="6"/>
      <c r="B755" s="6"/>
      <c r="C755" s="6"/>
      <c r="D755" s="6"/>
      <c r="E755" s="7"/>
      <c r="F755" s="6"/>
      <c r="G755" s="6"/>
    </row>
    <row r="756" spans="1:7" ht="12.75" customHeight="1" x14ac:dyDescent="0.25">
      <c r="A756" s="6"/>
      <c r="B756" s="6"/>
      <c r="C756" s="6"/>
      <c r="D756" s="6"/>
      <c r="E756" s="7"/>
      <c r="F756" s="6"/>
      <c r="G756" s="6"/>
    </row>
    <row r="757" spans="1:7" ht="12.75" customHeight="1" x14ac:dyDescent="0.25">
      <c r="A757" s="6"/>
      <c r="B757" s="6"/>
      <c r="C757" s="6"/>
      <c r="D757" s="6"/>
      <c r="E757" s="7"/>
      <c r="F757" s="6"/>
      <c r="G757" s="6"/>
    </row>
    <row r="758" spans="1:7" ht="12.75" customHeight="1" x14ac:dyDescent="0.25">
      <c r="A758" s="6"/>
      <c r="B758" s="6"/>
      <c r="C758" s="6"/>
      <c r="D758" s="6"/>
      <c r="E758" s="7"/>
      <c r="F758" s="6"/>
      <c r="G758" s="6"/>
    </row>
    <row r="759" spans="1:7" ht="12.75" customHeight="1" x14ac:dyDescent="0.25">
      <c r="A759" s="6"/>
      <c r="B759" s="6"/>
      <c r="C759" s="6"/>
      <c r="D759" s="6"/>
      <c r="E759" s="7"/>
      <c r="F759" s="6"/>
      <c r="G759" s="6"/>
    </row>
    <row r="760" spans="1:7" ht="12.75" customHeight="1" x14ac:dyDescent="0.25">
      <c r="A760" s="6"/>
      <c r="B760" s="6"/>
      <c r="C760" s="6"/>
      <c r="D760" s="6"/>
      <c r="E760" s="7"/>
      <c r="F760" s="6"/>
      <c r="G760" s="6"/>
    </row>
    <row r="761" spans="1:7" ht="12.75" customHeight="1" x14ac:dyDescent="0.25">
      <c r="A761" s="6"/>
      <c r="B761" s="6"/>
      <c r="C761" s="6"/>
      <c r="D761" s="6"/>
      <c r="E761" s="7"/>
      <c r="F761" s="6"/>
      <c r="G761" s="6"/>
    </row>
    <row r="762" spans="1:7" ht="12.75" customHeight="1" x14ac:dyDescent="0.25">
      <c r="A762" s="6"/>
      <c r="B762" s="6"/>
      <c r="C762" s="6"/>
      <c r="D762" s="6"/>
      <c r="E762" s="7"/>
      <c r="F762" s="6"/>
      <c r="G762" s="6"/>
    </row>
    <row r="763" spans="1:7" ht="12.75" customHeight="1" x14ac:dyDescent="0.25">
      <c r="A763" s="6"/>
      <c r="B763" s="6"/>
      <c r="C763" s="6"/>
      <c r="D763" s="6"/>
      <c r="E763" s="7"/>
      <c r="F763" s="6"/>
      <c r="G763" s="6"/>
    </row>
    <row r="764" spans="1:7" ht="12.75" customHeight="1" x14ac:dyDescent="0.25">
      <c r="A764" s="6"/>
      <c r="B764" s="6"/>
      <c r="C764" s="6"/>
      <c r="D764" s="6"/>
      <c r="E764" s="7"/>
      <c r="F764" s="6"/>
      <c r="G764" s="6"/>
    </row>
    <row r="765" spans="1:7" ht="12.75" customHeight="1" x14ac:dyDescent="0.25">
      <c r="A765" s="6"/>
      <c r="B765" s="6"/>
      <c r="C765" s="6"/>
      <c r="D765" s="6"/>
      <c r="E765" s="7"/>
      <c r="F765" s="6"/>
      <c r="G765" s="6"/>
    </row>
    <row r="766" spans="1:7" ht="12.75" customHeight="1" x14ac:dyDescent="0.25">
      <c r="A766" s="6"/>
      <c r="B766" s="6"/>
      <c r="C766" s="6"/>
      <c r="D766" s="6"/>
      <c r="E766" s="7"/>
      <c r="F766" s="6"/>
      <c r="G766" s="6"/>
    </row>
    <row r="767" spans="1:7" ht="12.75" customHeight="1" x14ac:dyDescent="0.25">
      <c r="A767" s="6"/>
      <c r="B767" s="6"/>
      <c r="C767" s="6"/>
      <c r="D767" s="6"/>
      <c r="E767" s="7"/>
      <c r="F767" s="6"/>
      <c r="G767" s="6"/>
    </row>
    <row r="768" spans="1:7" ht="12.75" customHeight="1" x14ac:dyDescent="0.25">
      <c r="A768" s="6"/>
      <c r="B768" s="6"/>
      <c r="C768" s="6"/>
      <c r="D768" s="6"/>
      <c r="E768" s="7"/>
      <c r="F768" s="6"/>
      <c r="G768" s="6"/>
    </row>
    <row r="769" spans="1:7" ht="12.75" customHeight="1" x14ac:dyDescent="0.25">
      <c r="A769" s="6"/>
      <c r="B769" s="6"/>
      <c r="C769" s="6"/>
      <c r="D769" s="6"/>
      <c r="E769" s="7"/>
      <c r="F769" s="6"/>
      <c r="G769" s="6"/>
    </row>
    <row r="770" spans="1:7" ht="12.75" customHeight="1" x14ac:dyDescent="0.25">
      <c r="A770" s="6"/>
      <c r="B770" s="6"/>
      <c r="C770" s="6"/>
      <c r="D770" s="6"/>
      <c r="E770" s="7"/>
      <c r="F770" s="6"/>
      <c r="G770" s="6"/>
    </row>
    <row r="771" spans="1:7" ht="12.75" customHeight="1" x14ac:dyDescent="0.25">
      <c r="A771" s="6"/>
      <c r="B771" s="6"/>
      <c r="C771" s="6"/>
      <c r="D771" s="6"/>
      <c r="E771" s="7"/>
      <c r="F771" s="6"/>
      <c r="G771" s="6"/>
    </row>
    <row r="772" spans="1:7" ht="12.75" customHeight="1" x14ac:dyDescent="0.25">
      <c r="A772" s="6"/>
      <c r="B772" s="6"/>
      <c r="C772" s="6"/>
      <c r="D772" s="6"/>
      <c r="E772" s="7"/>
      <c r="F772" s="6"/>
      <c r="G772" s="6"/>
    </row>
    <row r="773" spans="1:7" ht="12.75" customHeight="1" x14ac:dyDescent="0.25">
      <c r="A773" s="6"/>
      <c r="B773" s="6"/>
      <c r="C773" s="6"/>
      <c r="D773" s="6"/>
      <c r="E773" s="7"/>
      <c r="F773" s="6"/>
      <c r="G773" s="6"/>
    </row>
    <row r="774" spans="1:7" ht="12.75" customHeight="1" x14ac:dyDescent="0.25">
      <c r="A774" s="6"/>
      <c r="B774" s="6"/>
      <c r="C774" s="6"/>
      <c r="D774" s="6"/>
      <c r="E774" s="7"/>
      <c r="F774" s="6"/>
      <c r="G774" s="6"/>
    </row>
    <row r="775" spans="1:7" ht="12.75" customHeight="1" x14ac:dyDescent="0.25">
      <c r="A775" s="6"/>
      <c r="B775" s="6"/>
      <c r="C775" s="6"/>
      <c r="D775" s="6"/>
      <c r="E775" s="7"/>
      <c r="F775" s="6"/>
      <c r="G775" s="6"/>
    </row>
    <row r="776" spans="1:7" ht="12.75" customHeight="1" x14ac:dyDescent="0.25">
      <c r="A776" s="6"/>
      <c r="B776" s="6"/>
      <c r="C776" s="6"/>
      <c r="D776" s="6"/>
      <c r="E776" s="7"/>
      <c r="F776" s="6"/>
      <c r="G776" s="6"/>
    </row>
    <row r="777" spans="1:7" ht="12.75" customHeight="1" x14ac:dyDescent="0.25">
      <c r="A777" s="6"/>
      <c r="B777" s="6"/>
      <c r="C777" s="6"/>
      <c r="D777" s="6"/>
      <c r="E777" s="7"/>
      <c r="F777" s="6"/>
      <c r="G777" s="6"/>
    </row>
    <row r="778" spans="1:7" ht="12.75" customHeight="1" x14ac:dyDescent="0.25">
      <c r="A778" s="6"/>
      <c r="B778" s="6"/>
      <c r="C778" s="6"/>
      <c r="D778" s="6"/>
      <c r="E778" s="7"/>
      <c r="F778" s="6"/>
      <c r="G778" s="6"/>
    </row>
    <row r="779" spans="1:7" ht="12.75" customHeight="1" x14ac:dyDescent="0.25">
      <c r="A779" s="6"/>
      <c r="B779" s="6"/>
      <c r="C779" s="6"/>
      <c r="D779" s="6"/>
      <c r="E779" s="7"/>
      <c r="F779" s="6"/>
      <c r="G779" s="6"/>
    </row>
    <row r="780" spans="1:7" ht="12.75" customHeight="1" x14ac:dyDescent="0.25">
      <c r="A780" s="6"/>
      <c r="B780" s="6"/>
      <c r="C780" s="6"/>
      <c r="D780" s="6"/>
      <c r="E780" s="7"/>
      <c r="F780" s="6"/>
      <c r="G780" s="6"/>
    </row>
    <row r="781" spans="1:7" ht="12.75" customHeight="1" x14ac:dyDescent="0.25">
      <c r="A781" s="6"/>
      <c r="B781" s="6"/>
      <c r="C781" s="6"/>
      <c r="D781" s="6"/>
      <c r="E781" s="7"/>
      <c r="F781" s="6"/>
      <c r="G781" s="6"/>
    </row>
    <row r="782" spans="1:7" ht="12.75" customHeight="1" x14ac:dyDescent="0.25">
      <c r="A782" s="6"/>
      <c r="B782" s="6"/>
      <c r="C782" s="6"/>
      <c r="D782" s="6"/>
      <c r="E782" s="7"/>
      <c r="F782" s="6"/>
      <c r="G782" s="6"/>
    </row>
    <row r="783" spans="1:7" ht="12.75" customHeight="1" x14ac:dyDescent="0.25">
      <c r="A783" s="6"/>
      <c r="B783" s="6"/>
      <c r="C783" s="6"/>
      <c r="D783" s="6"/>
      <c r="E783" s="7"/>
      <c r="F783" s="6"/>
      <c r="G783" s="6"/>
    </row>
    <row r="784" spans="1:7" ht="12.75" customHeight="1" x14ac:dyDescent="0.25">
      <c r="A784" s="6"/>
      <c r="B784" s="6"/>
      <c r="C784" s="6"/>
      <c r="D784" s="6"/>
      <c r="E784" s="7"/>
      <c r="F784" s="6"/>
      <c r="G784" s="6"/>
    </row>
    <row r="785" spans="1:7" ht="12.75" customHeight="1" x14ac:dyDescent="0.25">
      <c r="A785" s="6"/>
      <c r="B785" s="6"/>
      <c r="C785" s="6"/>
      <c r="D785" s="6"/>
      <c r="E785" s="7"/>
      <c r="F785" s="6"/>
      <c r="G785" s="6"/>
    </row>
    <row r="786" spans="1:7" ht="12.75" customHeight="1" x14ac:dyDescent="0.25">
      <c r="A786" s="6"/>
      <c r="B786" s="6"/>
      <c r="C786" s="6"/>
      <c r="D786" s="6"/>
      <c r="E786" s="7"/>
      <c r="F786" s="6"/>
      <c r="G786" s="6"/>
    </row>
    <row r="787" spans="1:7" ht="12.75" customHeight="1" x14ac:dyDescent="0.25">
      <c r="A787" s="6"/>
      <c r="B787" s="6"/>
      <c r="C787" s="6"/>
      <c r="D787" s="6"/>
      <c r="E787" s="7"/>
      <c r="F787" s="6"/>
      <c r="G787" s="6"/>
    </row>
    <row r="788" spans="1:7" ht="12.75" customHeight="1" x14ac:dyDescent="0.25">
      <c r="A788" s="6"/>
      <c r="B788" s="6"/>
      <c r="C788" s="6"/>
      <c r="D788" s="6"/>
      <c r="E788" s="7"/>
      <c r="F788" s="6"/>
      <c r="G788" s="6"/>
    </row>
    <row r="789" spans="1:7" ht="12.75" customHeight="1" x14ac:dyDescent="0.25">
      <c r="A789" s="6"/>
      <c r="B789" s="6"/>
      <c r="C789" s="6"/>
      <c r="D789" s="6"/>
      <c r="E789" s="7"/>
      <c r="F789" s="6"/>
      <c r="G789" s="6"/>
    </row>
    <row r="790" spans="1:7" ht="12.75" customHeight="1" x14ac:dyDescent="0.25">
      <c r="A790" s="6"/>
      <c r="B790" s="6"/>
      <c r="C790" s="6"/>
      <c r="D790" s="6"/>
      <c r="E790" s="7"/>
      <c r="F790" s="6"/>
      <c r="G790" s="6"/>
    </row>
    <row r="791" spans="1:7" ht="12.75" customHeight="1" x14ac:dyDescent="0.25">
      <c r="A791" s="6"/>
      <c r="B791" s="6"/>
      <c r="C791" s="6"/>
      <c r="D791" s="6"/>
      <c r="E791" s="7"/>
      <c r="F791" s="6"/>
      <c r="G791" s="6"/>
    </row>
    <row r="792" spans="1:7" ht="12.75" customHeight="1" x14ac:dyDescent="0.25">
      <c r="A792" s="6"/>
      <c r="B792" s="6"/>
      <c r="C792" s="6"/>
      <c r="D792" s="6"/>
      <c r="E792" s="7"/>
      <c r="F792" s="6"/>
      <c r="G792" s="6"/>
    </row>
    <row r="793" spans="1:7" ht="12.75" customHeight="1" x14ac:dyDescent="0.25">
      <c r="A793" s="6"/>
      <c r="B793" s="6"/>
      <c r="C793" s="6"/>
      <c r="D793" s="6"/>
      <c r="E793" s="7"/>
      <c r="F793" s="6"/>
      <c r="G793" s="6"/>
    </row>
    <row r="794" spans="1:7" ht="12.75" customHeight="1" x14ac:dyDescent="0.25">
      <c r="A794" s="6"/>
      <c r="B794" s="6"/>
      <c r="C794" s="6"/>
      <c r="D794" s="6"/>
      <c r="E794" s="7"/>
      <c r="F794" s="6"/>
      <c r="G794" s="6"/>
    </row>
    <row r="795" spans="1:7" ht="12.75" customHeight="1" x14ac:dyDescent="0.25">
      <c r="A795" s="6"/>
      <c r="B795" s="6"/>
      <c r="C795" s="6"/>
      <c r="D795" s="6"/>
      <c r="E795" s="7"/>
      <c r="F795" s="6"/>
      <c r="G795" s="6"/>
    </row>
    <row r="796" spans="1:7" ht="12.75" customHeight="1" x14ac:dyDescent="0.25">
      <c r="A796" s="6"/>
      <c r="B796" s="6"/>
      <c r="C796" s="6"/>
      <c r="D796" s="6"/>
      <c r="E796" s="7"/>
      <c r="F796" s="6"/>
      <c r="G796" s="6"/>
    </row>
    <row r="797" spans="1:7" ht="12.75" customHeight="1" x14ac:dyDescent="0.25">
      <c r="A797" s="6"/>
      <c r="B797" s="6"/>
      <c r="C797" s="6"/>
      <c r="D797" s="6"/>
      <c r="E797" s="7"/>
      <c r="F797" s="6"/>
      <c r="G797" s="6"/>
    </row>
    <row r="798" spans="1:7" ht="12.75" customHeight="1" x14ac:dyDescent="0.25">
      <c r="A798" s="6"/>
      <c r="B798" s="6"/>
      <c r="C798" s="6"/>
      <c r="D798" s="6"/>
      <c r="E798" s="7"/>
      <c r="F798" s="6"/>
      <c r="G798" s="6"/>
    </row>
    <row r="799" spans="1:7" ht="12.75" customHeight="1" x14ac:dyDescent="0.25">
      <c r="A799" s="6"/>
      <c r="B799" s="6"/>
      <c r="C799" s="6"/>
      <c r="D799" s="6"/>
      <c r="E799" s="7"/>
      <c r="F799" s="6"/>
      <c r="G799" s="6"/>
    </row>
    <row r="800" spans="1:7" ht="12.75" customHeight="1" x14ac:dyDescent="0.25">
      <c r="A800" s="6"/>
      <c r="B800" s="6"/>
      <c r="C800" s="6"/>
      <c r="D800" s="6"/>
      <c r="E800" s="7"/>
      <c r="F800" s="6"/>
      <c r="G800" s="6"/>
    </row>
    <row r="801" spans="1:7" ht="12.75" customHeight="1" x14ac:dyDescent="0.25">
      <c r="A801" s="6"/>
      <c r="B801" s="6"/>
      <c r="C801" s="6"/>
      <c r="D801" s="6"/>
      <c r="E801" s="7"/>
      <c r="F801" s="6"/>
      <c r="G801" s="6"/>
    </row>
    <row r="802" spans="1:7" ht="12.75" customHeight="1" x14ac:dyDescent="0.25">
      <c r="A802" s="6"/>
      <c r="B802" s="6"/>
      <c r="C802" s="6"/>
      <c r="D802" s="6"/>
      <c r="E802" s="7"/>
      <c r="F802" s="6"/>
      <c r="G802" s="6"/>
    </row>
    <row r="803" spans="1:7" ht="12.75" customHeight="1" x14ac:dyDescent="0.25">
      <c r="A803" s="6"/>
      <c r="B803" s="6"/>
      <c r="C803" s="6"/>
      <c r="D803" s="6"/>
      <c r="E803" s="7"/>
      <c r="F803" s="6"/>
      <c r="G803" s="6"/>
    </row>
    <row r="804" spans="1:7" ht="12.75" customHeight="1" x14ac:dyDescent="0.25">
      <c r="A804" s="6"/>
      <c r="B804" s="6"/>
      <c r="C804" s="6"/>
      <c r="D804" s="6"/>
      <c r="E804" s="7"/>
      <c r="F804" s="6"/>
      <c r="G804" s="6"/>
    </row>
    <row r="805" spans="1:7" ht="12.75" customHeight="1" x14ac:dyDescent="0.25">
      <c r="A805" s="6"/>
      <c r="B805" s="6"/>
      <c r="C805" s="6"/>
      <c r="D805" s="6"/>
      <c r="E805" s="7"/>
      <c r="F805" s="6"/>
      <c r="G805" s="6"/>
    </row>
    <row r="806" spans="1:7" ht="12.75" customHeight="1" x14ac:dyDescent="0.25">
      <c r="A806" s="6"/>
      <c r="B806" s="6"/>
      <c r="C806" s="6"/>
      <c r="D806" s="6"/>
      <c r="E806" s="7"/>
      <c r="F806" s="6"/>
      <c r="G806" s="6"/>
    </row>
    <row r="807" spans="1:7" ht="12.75" customHeight="1" x14ac:dyDescent="0.25">
      <c r="A807" s="6"/>
      <c r="B807" s="6"/>
      <c r="C807" s="6"/>
      <c r="D807" s="6"/>
      <c r="E807" s="7"/>
      <c r="F807" s="6"/>
      <c r="G807" s="6"/>
    </row>
    <row r="808" spans="1:7" ht="12.75" customHeight="1" x14ac:dyDescent="0.25">
      <c r="A808" s="6"/>
      <c r="B808" s="6"/>
      <c r="C808" s="6"/>
      <c r="D808" s="6"/>
      <c r="E808" s="7"/>
      <c r="F808" s="6"/>
      <c r="G808" s="6"/>
    </row>
    <row r="809" spans="1:7" ht="12.75" customHeight="1" x14ac:dyDescent="0.25">
      <c r="A809" s="6"/>
      <c r="B809" s="6"/>
      <c r="C809" s="6"/>
      <c r="D809" s="6"/>
      <c r="E809" s="7"/>
      <c r="F809" s="6"/>
      <c r="G809" s="6"/>
    </row>
    <row r="810" spans="1:7" ht="12.75" customHeight="1" x14ac:dyDescent="0.25">
      <c r="A810" s="6"/>
      <c r="B810" s="6"/>
      <c r="C810" s="6"/>
      <c r="D810" s="6"/>
      <c r="E810" s="7"/>
      <c r="F810" s="6"/>
      <c r="G810" s="6"/>
    </row>
    <row r="811" spans="1:7" ht="12.75" customHeight="1" x14ac:dyDescent="0.25">
      <c r="A811" s="6"/>
      <c r="B811" s="6"/>
      <c r="C811" s="6"/>
      <c r="D811" s="6"/>
      <c r="E811" s="7"/>
      <c r="F811" s="6"/>
      <c r="G811" s="6"/>
    </row>
    <row r="812" spans="1:7" ht="12.75" customHeight="1" x14ac:dyDescent="0.25">
      <c r="A812" s="6"/>
      <c r="B812" s="6"/>
      <c r="C812" s="6"/>
      <c r="D812" s="6"/>
      <c r="E812" s="7"/>
      <c r="F812" s="6"/>
      <c r="G812" s="6"/>
    </row>
    <row r="813" spans="1:7" ht="12.75" customHeight="1" x14ac:dyDescent="0.25">
      <c r="A813" s="6"/>
      <c r="B813" s="6"/>
      <c r="C813" s="6"/>
      <c r="D813" s="6"/>
      <c r="E813" s="7"/>
      <c r="F813" s="6"/>
      <c r="G813" s="6"/>
    </row>
    <row r="814" spans="1:7" ht="12.75" customHeight="1" x14ac:dyDescent="0.25">
      <c r="A814" s="6"/>
      <c r="B814" s="6"/>
      <c r="C814" s="6"/>
      <c r="D814" s="6"/>
      <c r="E814" s="7"/>
      <c r="F814" s="6"/>
      <c r="G814" s="6"/>
    </row>
    <row r="815" spans="1:7" ht="12.75" customHeight="1" x14ac:dyDescent="0.25">
      <c r="A815" s="6"/>
      <c r="B815" s="6"/>
      <c r="C815" s="6"/>
      <c r="D815" s="6"/>
      <c r="E815" s="7"/>
      <c r="F815" s="6"/>
      <c r="G815" s="6"/>
    </row>
    <row r="816" spans="1:7" ht="12.75" customHeight="1" x14ac:dyDescent="0.25">
      <c r="A816" s="6"/>
      <c r="B816" s="6"/>
      <c r="C816" s="6"/>
      <c r="D816" s="6"/>
      <c r="E816" s="7"/>
      <c r="F816" s="6"/>
      <c r="G816" s="6"/>
    </row>
    <row r="817" spans="1:7" ht="12.75" customHeight="1" x14ac:dyDescent="0.25">
      <c r="A817" s="6"/>
      <c r="B817" s="6"/>
      <c r="C817" s="6"/>
      <c r="D817" s="6"/>
      <c r="E817" s="7"/>
      <c r="F817" s="6"/>
      <c r="G817" s="6"/>
    </row>
    <row r="818" spans="1:7" ht="12.75" customHeight="1" x14ac:dyDescent="0.25">
      <c r="A818" s="6"/>
      <c r="B818" s="6"/>
      <c r="C818" s="6"/>
      <c r="D818" s="6"/>
      <c r="E818" s="7"/>
      <c r="F818" s="6"/>
      <c r="G818" s="6"/>
    </row>
    <row r="819" spans="1:7" ht="12.75" customHeight="1" x14ac:dyDescent="0.25">
      <c r="A819" s="6"/>
      <c r="B819" s="6"/>
      <c r="C819" s="6"/>
      <c r="D819" s="6"/>
      <c r="E819" s="7"/>
      <c r="F819" s="6"/>
      <c r="G819" s="6"/>
    </row>
    <row r="820" spans="1:7" ht="12.75" customHeight="1" x14ac:dyDescent="0.25">
      <c r="A820" s="6"/>
      <c r="B820" s="6"/>
      <c r="C820" s="6"/>
      <c r="D820" s="6"/>
      <c r="E820" s="7"/>
      <c r="F820" s="6"/>
      <c r="G820" s="6"/>
    </row>
    <row r="821" spans="1:7" ht="12.75" customHeight="1" x14ac:dyDescent="0.25">
      <c r="A821" s="6"/>
      <c r="B821" s="6"/>
      <c r="C821" s="6"/>
      <c r="D821" s="6"/>
      <c r="E821" s="7"/>
      <c r="F821" s="6"/>
      <c r="G821" s="6"/>
    </row>
    <row r="822" spans="1:7" ht="12.75" customHeight="1" x14ac:dyDescent="0.25">
      <c r="A822" s="6"/>
      <c r="B822" s="6"/>
      <c r="C822" s="6"/>
      <c r="D822" s="6"/>
      <c r="E822" s="7"/>
      <c r="F822" s="6"/>
      <c r="G822" s="6"/>
    </row>
    <row r="823" spans="1:7" ht="12.75" customHeight="1" x14ac:dyDescent="0.25">
      <c r="A823" s="6"/>
      <c r="B823" s="6"/>
      <c r="C823" s="6"/>
      <c r="D823" s="6"/>
      <c r="E823" s="7"/>
      <c r="F823" s="6"/>
      <c r="G823" s="6"/>
    </row>
    <row r="824" spans="1:7" ht="12.75" customHeight="1" x14ac:dyDescent="0.25">
      <c r="A824" s="6"/>
      <c r="B824" s="6"/>
      <c r="C824" s="6"/>
      <c r="D824" s="6"/>
      <c r="E824" s="7"/>
      <c r="F824" s="6"/>
      <c r="G824" s="6"/>
    </row>
    <row r="825" spans="1:7" ht="12.75" customHeight="1" x14ac:dyDescent="0.25">
      <c r="A825" s="6"/>
      <c r="B825" s="6"/>
      <c r="C825" s="6"/>
      <c r="D825" s="6"/>
      <c r="E825" s="7"/>
      <c r="F825" s="6"/>
      <c r="G825" s="6"/>
    </row>
    <row r="826" spans="1:7" ht="12.75" customHeight="1" x14ac:dyDescent="0.25">
      <c r="A826" s="6"/>
      <c r="B826" s="6"/>
      <c r="C826" s="6"/>
      <c r="D826" s="6"/>
      <c r="E826" s="7"/>
      <c r="F826" s="6"/>
      <c r="G826" s="6"/>
    </row>
    <row r="827" spans="1:7" ht="12.75" customHeight="1" x14ac:dyDescent="0.25">
      <c r="A827" s="6"/>
      <c r="B827" s="6"/>
      <c r="C827" s="6"/>
      <c r="D827" s="6"/>
      <c r="E827" s="7"/>
      <c r="F827" s="6"/>
      <c r="G827" s="6"/>
    </row>
    <row r="828" spans="1:7" ht="12.75" customHeight="1" x14ac:dyDescent="0.25">
      <c r="A828" s="6"/>
      <c r="B828" s="6"/>
      <c r="C828" s="6"/>
      <c r="D828" s="6"/>
      <c r="E828" s="7"/>
      <c r="F828" s="6"/>
      <c r="G828" s="6"/>
    </row>
    <row r="829" spans="1:7" ht="12.75" customHeight="1" x14ac:dyDescent="0.25">
      <c r="A829" s="6"/>
      <c r="B829" s="6"/>
      <c r="C829" s="6"/>
      <c r="D829" s="6"/>
      <c r="E829" s="7"/>
      <c r="F829" s="6"/>
      <c r="G829" s="6"/>
    </row>
    <row r="830" spans="1:7" ht="12.75" customHeight="1" x14ac:dyDescent="0.25">
      <c r="A830" s="6"/>
      <c r="B830" s="6"/>
      <c r="C830" s="6"/>
      <c r="D830" s="6"/>
      <c r="E830" s="7"/>
      <c r="F830" s="6"/>
      <c r="G830" s="6"/>
    </row>
    <row r="831" spans="1:7" ht="12.75" customHeight="1" x14ac:dyDescent="0.25">
      <c r="A831" s="6"/>
      <c r="B831" s="6"/>
      <c r="C831" s="6"/>
      <c r="D831" s="6"/>
      <c r="E831" s="7"/>
      <c r="F831" s="6"/>
      <c r="G831" s="6"/>
    </row>
    <row r="832" spans="1:7" ht="12.75" customHeight="1" x14ac:dyDescent="0.25">
      <c r="A832" s="6"/>
      <c r="B832" s="6"/>
      <c r="C832" s="6"/>
      <c r="D832" s="6"/>
      <c r="E832" s="7"/>
      <c r="F832" s="6"/>
      <c r="G832" s="6"/>
    </row>
    <row r="833" spans="1:7" ht="12.75" customHeight="1" x14ac:dyDescent="0.25">
      <c r="A833" s="6"/>
      <c r="B833" s="6"/>
      <c r="C833" s="6"/>
      <c r="D833" s="6"/>
      <c r="E833" s="7"/>
      <c r="F833" s="6"/>
      <c r="G833" s="6"/>
    </row>
    <row r="834" spans="1:7" ht="12.75" customHeight="1" x14ac:dyDescent="0.25">
      <c r="A834" s="6"/>
      <c r="B834" s="6"/>
      <c r="C834" s="6"/>
      <c r="D834" s="6"/>
      <c r="E834" s="7"/>
      <c r="F834" s="6"/>
      <c r="G834" s="6"/>
    </row>
    <row r="835" spans="1:7" ht="12.75" customHeight="1" x14ac:dyDescent="0.25">
      <c r="A835" s="6"/>
      <c r="B835" s="6"/>
      <c r="C835" s="6"/>
      <c r="D835" s="6"/>
      <c r="E835" s="7"/>
      <c r="F835" s="6"/>
      <c r="G835" s="6"/>
    </row>
    <row r="836" spans="1:7" ht="12.75" customHeight="1" x14ac:dyDescent="0.25">
      <c r="A836" s="6"/>
      <c r="B836" s="6"/>
      <c r="C836" s="6"/>
      <c r="D836" s="6"/>
      <c r="E836" s="7"/>
      <c r="F836" s="6"/>
      <c r="G836" s="6"/>
    </row>
    <row r="837" spans="1:7" ht="12.75" customHeight="1" x14ac:dyDescent="0.25">
      <c r="A837" s="6"/>
      <c r="B837" s="6"/>
      <c r="C837" s="6"/>
      <c r="D837" s="6"/>
      <c r="E837" s="7"/>
      <c r="F837" s="6"/>
      <c r="G837" s="6"/>
    </row>
    <row r="838" spans="1:7" ht="12.75" customHeight="1" x14ac:dyDescent="0.25">
      <c r="A838" s="6"/>
      <c r="B838" s="6"/>
      <c r="C838" s="6"/>
      <c r="D838" s="6"/>
      <c r="E838" s="7"/>
      <c r="F838" s="6"/>
      <c r="G838" s="6"/>
    </row>
    <row r="839" spans="1:7" ht="12.75" customHeight="1" x14ac:dyDescent="0.25">
      <c r="A839" s="6"/>
      <c r="B839" s="6"/>
      <c r="C839" s="6"/>
      <c r="D839" s="6"/>
      <c r="E839" s="7"/>
      <c r="F839" s="6"/>
      <c r="G839" s="6"/>
    </row>
    <row r="840" spans="1:7" ht="12.75" customHeight="1" x14ac:dyDescent="0.25">
      <c r="A840" s="6"/>
      <c r="B840" s="6"/>
      <c r="C840" s="6"/>
      <c r="D840" s="6"/>
      <c r="E840" s="7"/>
      <c r="F840" s="6"/>
      <c r="G840" s="6"/>
    </row>
    <row r="841" spans="1:7" ht="12.75" customHeight="1" x14ac:dyDescent="0.25">
      <c r="A841" s="6"/>
      <c r="B841" s="6"/>
      <c r="C841" s="6"/>
      <c r="D841" s="6"/>
      <c r="E841" s="7"/>
      <c r="F841" s="6"/>
      <c r="G841" s="6"/>
    </row>
    <row r="842" spans="1:7" ht="12.75" customHeight="1" x14ac:dyDescent="0.25">
      <c r="A842" s="6"/>
      <c r="B842" s="6"/>
      <c r="C842" s="6"/>
      <c r="D842" s="6"/>
      <c r="E842" s="7"/>
      <c r="F842" s="6"/>
      <c r="G842" s="6"/>
    </row>
    <row r="843" spans="1:7" ht="12.75" customHeight="1" x14ac:dyDescent="0.25">
      <c r="A843" s="6"/>
      <c r="B843" s="6"/>
      <c r="C843" s="6"/>
      <c r="D843" s="6"/>
      <c r="E843" s="7"/>
      <c r="F843" s="6"/>
      <c r="G843" s="6"/>
    </row>
    <row r="844" spans="1:7" ht="12.75" customHeight="1" x14ac:dyDescent="0.25">
      <c r="A844" s="6"/>
      <c r="B844" s="6"/>
      <c r="C844" s="6"/>
      <c r="D844" s="6"/>
      <c r="E844" s="7"/>
      <c r="F844" s="6"/>
      <c r="G844" s="6"/>
    </row>
    <row r="845" spans="1:7" ht="12.75" customHeight="1" x14ac:dyDescent="0.25">
      <c r="A845" s="6"/>
      <c r="B845" s="6"/>
      <c r="C845" s="6"/>
      <c r="D845" s="6"/>
      <c r="E845" s="7"/>
      <c r="F845" s="6"/>
      <c r="G845" s="6"/>
    </row>
    <row r="846" spans="1:7" ht="12.75" customHeight="1" x14ac:dyDescent="0.25">
      <c r="A846" s="6"/>
      <c r="B846" s="6"/>
      <c r="C846" s="6"/>
      <c r="D846" s="6"/>
      <c r="E846" s="7"/>
      <c r="F846" s="6"/>
      <c r="G846" s="6"/>
    </row>
    <row r="847" spans="1:7" ht="12.75" customHeight="1" x14ac:dyDescent="0.25">
      <c r="A847" s="6"/>
      <c r="B847" s="6"/>
      <c r="C847" s="6"/>
      <c r="D847" s="6"/>
      <c r="E847" s="7"/>
      <c r="F847" s="6"/>
      <c r="G847" s="6"/>
    </row>
    <row r="848" spans="1:7" ht="12.75" customHeight="1" x14ac:dyDescent="0.25">
      <c r="A848" s="6"/>
      <c r="B848" s="6"/>
      <c r="C848" s="6"/>
      <c r="D848" s="6"/>
      <c r="E848" s="7"/>
      <c r="F848" s="6"/>
      <c r="G848" s="6"/>
    </row>
    <row r="849" spans="1:7" ht="12.75" customHeight="1" x14ac:dyDescent="0.25">
      <c r="A849" s="6"/>
      <c r="B849" s="6"/>
      <c r="C849" s="6"/>
      <c r="D849" s="6"/>
      <c r="E849" s="7"/>
      <c r="F849" s="6"/>
      <c r="G849" s="6"/>
    </row>
    <row r="850" spans="1:7" ht="12.75" customHeight="1" x14ac:dyDescent="0.25">
      <c r="A850" s="6"/>
      <c r="B850" s="6"/>
      <c r="C850" s="6"/>
      <c r="D850" s="6"/>
      <c r="E850" s="7"/>
      <c r="F850" s="6"/>
      <c r="G850" s="6"/>
    </row>
    <row r="851" spans="1:7" ht="12.75" customHeight="1" x14ac:dyDescent="0.25">
      <c r="A851" s="6"/>
      <c r="B851" s="6"/>
      <c r="C851" s="6"/>
      <c r="D851" s="6"/>
      <c r="E851" s="7"/>
      <c r="F851" s="6"/>
      <c r="G851" s="6"/>
    </row>
    <row r="852" spans="1:7" ht="12.75" customHeight="1" x14ac:dyDescent="0.25">
      <c r="A852" s="6"/>
      <c r="B852" s="6"/>
      <c r="C852" s="6"/>
      <c r="D852" s="6"/>
      <c r="E852" s="7"/>
      <c r="F852" s="6"/>
      <c r="G852" s="6"/>
    </row>
    <row r="853" spans="1:7" ht="12.75" customHeight="1" x14ac:dyDescent="0.25">
      <c r="A853" s="6"/>
      <c r="B853" s="6"/>
      <c r="C853" s="6"/>
      <c r="D853" s="6"/>
      <c r="E853" s="7"/>
      <c r="F853" s="6"/>
      <c r="G853" s="6"/>
    </row>
    <row r="854" spans="1:7" ht="12.75" customHeight="1" x14ac:dyDescent="0.25">
      <c r="A854" s="6"/>
      <c r="B854" s="6"/>
      <c r="C854" s="6"/>
      <c r="D854" s="6"/>
      <c r="E854" s="7"/>
      <c r="F854" s="6"/>
      <c r="G854" s="6"/>
    </row>
    <row r="855" spans="1:7" ht="12.75" customHeight="1" x14ac:dyDescent="0.25">
      <c r="A855" s="6"/>
      <c r="B855" s="6"/>
      <c r="C855" s="6"/>
      <c r="D855" s="6"/>
      <c r="E855" s="7"/>
      <c r="F855" s="6"/>
      <c r="G855" s="6"/>
    </row>
    <row r="856" spans="1:7" ht="12.75" customHeight="1" x14ac:dyDescent="0.25">
      <c r="A856" s="6"/>
      <c r="B856" s="6"/>
      <c r="C856" s="6"/>
      <c r="D856" s="6"/>
      <c r="E856" s="7"/>
      <c r="F856" s="6"/>
      <c r="G856" s="6"/>
    </row>
    <row r="857" spans="1:7" ht="12.75" customHeight="1" x14ac:dyDescent="0.25">
      <c r="A857" s="6"/>
      <c r="B857" s="6"/>
      <c r="C857" s="6"/>
      <c r="D857" s="6"/>
      <c r="E857" s="7"/>
      <c r="F857" s="6"/>
      <c r="G857" s="6"/>
    </row>
    <row r="858" spans="1:7" ht="12.75" customHeight="1" x14ac:dyDescent="0.25">
      <c r="A858" s="6"/>
      <c r="B858" s="6"/>
      <c r="C858" s="6"/>
      <c r="D858" s="6"/>
      <c r="E858" s="7"/>
      <c r="F858" s="6"/>
      <c r="G858" s="6"/>
    </row>
    <row r="859" spans="1:7" ht="12.75" customHeight="1" x14ac:dyDescent="0.25">
      <c r="A859" s="6"/>
      <c r="B859" s="6"/>
      <c r="C859" s="6"/>
      <c r="D859" s="6"/>
      <c r="E859" s="7"/>
      <c r="F859" s="6"/>
      <c r="G859" s="6"/>
    </row>
    <row r="860" spans="1:7" ht="12.75" customHeight="1" x14ac:dyDescent="0.25">
      <c r="A860" s="6"/>
      <c r="B860" s="6"/>
      <c r="C860" s="6"/>
      <c r="D860" s="6"/>
      <c r="E860" s="7"/>
      <c r="F860" s="6"/>
      <c r="G860" s="6"/>
    </row>
    <row r="861" spans="1:7" ht="12.75" customHeight="1" x14ac:dyDescent="0.25">
      <c r="A861" s="6"/>
      <c r="B861" s="6"/>
      <c r="C861" s="6"/>
      <c r="D861" s="6"/>
      <c r="E861" s="7"/>
      <c r="F861" s="6"/>
      <c r="G861" s="6"/>
    </row>
    <row r="862" spans="1:7" ht="12.75" customHeight="1" x14ac:dyDescent="0.25">
      <c r="A862" s="6"/>
      <c r="B862" s="6"/>
      <c r="C862" s="6"/>
      <c r="D862" s="6"/>
      <c r="E862" s="7"/>
      <c r="F862" s="6"/>
      <c r="G862" s="6"/>
    </row>
    <row r="863" spans="1:7" ht="12.75" customHeight="1" x14ac:dyDescent="0.25">
      <c r="A863" s="6"/>
      <c r="B863" s="6"/>
      <c r="C863" s="6"/>
      <c r="D863" s="6"/>
      <c r="E863" s="7"/>
      <c r="F863" s="6"/>
      <c r="G863" s="6"/>
    </row>
    <row r="864" spans="1:7" ht="12.75" customHeight="1" x14ac:dyDescent="0.25">
      <c r="A864" s="6"/>
      <c r="B864" s="6"/>
      <c r="C864" s="6"/>
      <c r="D864" s="6"/>
      <c r="E864" s="7"/>
      <c r="F864" s="6"/>
      <c r="G864" s="6"/>
    </row>
    <row r="865" spans="1:7" ht="12.75" customHeight="1" x14ac:dyDescent="0.25">
      <c r="A865" s="6"/>
      <c r="B865" s="6"/>
      <c r="C865" s="6"/>
      <c r="D865" s="6"/>
      <c r="E865" s="7"/>
      <c r="F865" s="6"/>
      <c r="G865" s="6"/>
    </row>
    <row r="866" spans="1:7" ht="12.75" customHeight="1" x14ac:dyDescent="0.25">
      <c r="A866" s="6"/>
      <c r="B866" s="6"/>
      <c r="C866" s="6"/>
      <c r="D866" s="6"/>
      <c r="E866" s="7"/>
      <c r="F866" s="6"/>
      <c r="G866" s="6"/>
    </row>
    <row r="867" spans="1:7" ht="12.75" customHeight="1" x14ac:dyDescent="0.25">
      <c r="A867" s="6"/>
      <c r="B867" s="6"/>
      <c r="C867" s="6"/>
      <c r="D867" s="6"/>
      <c r="E867" s="7"/>
      <c r="F867" s="6"/>
      <c r="G867" s="6"/>
    </row>
    <row r="868" spans="1:7" ht="12.75" customHeight="1" x14ac:dyDescent="0.25">
      <c r="A868" s="6"/>
      <c r="B868" s="6"/>
      <c r="C868" s="6"/>
      <c r="D868" s="6"/>
      <c r="E868" s="7"/>
      <c r="F868" s="6"/>
      <c r="G868" s="6"/>
    </row>
    <row r="869" spans="1:7" ht="12.75" customHeight="1" x14ac:dyDescent="0.25">
      <c r="A869" s="6"/>
      <c r="B869" s="6"/>
      <c r="C869" s="6"/>
      <c r="D869" s="6"/>
      <c r="E869" s="7"/>
      <c r="F869" s="6"/>
      <c r="G869" s="6"/>
    </row>
    <row r="870" spans="1:7" ht="12.75" customHeight="1" x14ac:dyDescent="0.25">
      <c r="A870" s="6"/>
      <c r="B870" s="6"/>
      <c r="C870" s="6"/>
      <c r="D870" s="6"/>
      <c r="E870" s="7"/>
      <c r="F870" s="6"/>
      <c r="G870" s="6"/>
    </row>
    <row r="871" spans="1:7" ht="12.75" customHeight="1" x14ac:dyDescent="0.25">
      <c r="A871" s="6"/>
      <c r="B871" s="6"/>
      <c r="C871" s="6"/>
      <c r="D871" s="6"/>
      <c r="E871" s="7"/>
      <c r="F871" s="6"/>
      <c r="G871" s="6"/>
    </row>
    <row r="872" spans="1:7" ht="12.75" customHeight="1" x14ac:dyDescent="0.25">
      <c r="A872" s="6"/>
      <c r="B872" s="6"/>
      <c r="C872" s="6"/>
      <c r="D872" s="6"/>
      <c r="E872" s="7"/>
      <c r="F872" s="6"/>
      <c r="G872" s="6"/>
    </row>
    <row r="873" spans="1:7" ht="12.75" customHeight="1" x14ac:dyDescent="0.25">
      <c r="A873" s="6"/>
      <c r="B873" s="6"/>
      <c r="C873" s="6"/>
      <c r="D873" s="6"/>
      <c r="E873" s="7"/>
      <c r="F873" s="6"/>
      <c r="G873" s="6"/>
    </row>
    <row r="874" spans="1:7" ht="12.75" customHeight="1" x14ac:dyDescent="0.25">
      <c r="A874" s="6"/>
      <c r="B874" s="6"/>
      <c r="C874" s="6"/>
      <c r="D874" s="6"/>
      <c r="E874" s="7"/>
      <c r="F874" s="6"/>
      <c r="G874" s="6"/>
    </row>
    <row r="875" spans="1:7" ht="12.75" customHeight="1" x14ac:dyDescent="0.25">
      <c r="A875" s="6"/>
      <c r="B875" s="6"/>
      <c r="C875" s="6"/>
      <c r="D875" s="6"/>
      <c r="E875" s="7"/>
      <c r="F875" s="6"/>
      <c r="G875" s="6"/>
    </row>
    <row r="876" spans="1:7" ht="12.75" customHeight="1" x14ac:dyDescent="0.25">
      <c r="A876" s="6"/>
      <c r="B876" s="6"/>
      <c r="C876" s="6"/>
      <c r="D876" s="6"/>
      <c r="E876" s="7"/>
      <c r="F876" s="6"/>
      <c r="G876" s="6"/>
    </row>
    <row r="877" spans="1:7" ht="12.75" customHeight="1" x14ac:dyDescent="0.25">
      <c r="A877" s="6"/>
      <c r="B877" s="6"/>
      <c r="C877" s="6"/>
      <c r="D877" s="6"/>
      <c r="E877" s="7"/>
      <c r="F877" s="6"/>
      <c r="G877" s="6"/>
    </row>
    <row r="878" spans="1:7" ht="12.75" customHeight="1" x14ac:dyDescent="0.25">
      <c r="A878" s="6"/>
      <c r="B878" s="6"/>
      <c r="C878" s="6"/>
      <c r="D878" s="6"/>
      <c r="E878" s="7"/>
      <c r="F878" s="6"/>
      <c r="G878" s="6"/>
    </row>
    <row r="879" spans="1:7" ht="12.75" customHeight="1" x14ac:dyDescent="0.25">
      <c r="A879" s="6"/>
      <c r="B879" s="6"/>
      <c r="C879" s="6"/>
      <c r="D879" s="6"/>
      <c r="E879" s="7"/>
      <c r="F879" s="6"/>
      <c r="G879" s="6"/>
    </row>
    <row r="880" spans="1:7" ht="12.75" customHeight="1" x14ac:dyDescent="0.25">
      <c r="A880" s="6"/>
      <c r="B880" s="6"/>
      <c r="C880" s="6"/>
      <c r="D880" s="6"/>
      <c r="E880" s="7"/>
      <c r="F880" s="6"/>
      <c r="G880" s="6"/>
    </row>
    <row r="881" spans="1:7" ht="12.75" customHeight="1" x14ac:dyDescent="0.25">
      <c r="A881" s="6"/>
      <c r="B881" s="6"/>
      <c r="C881" s="6"/>
      <c r="D881" s="6"/>
      <c r="E881" s="7"/>
      <c r="F881" s="6"/>
      <c r="G881" s="6"/>
    </row>
    <row r="882" spans="1:7" ht="12.75" customHeight="1" x14ac:dyDescent="0.25">
      <c r="A882" s="6"/>
      <c r="B882" s="6"/>
      <c r="C882" s="6"/>
      <c r="D882" s="6"/>
      <c r="E882" s="7"/>
      <c r="F882" s="6"/>
      <c r="G882" s="6"/>
    </row>
    <row r="883" spans="1:7" ht="12.75" customHeight="1" x14ac:dyDescent="0.25">
      <c r="A883" s="6"/>
      <c r="B883" s="6"/>
      <c r="C883" s="6"/>
      <c r="D883" s="6"/>
      <c r="E883" s="7"/>
      <c r="F883" s="6"/>
      <c r="G883" s="6"/>
    </row>
    <row r="884" spans="1:7" ht="12.75" customHeight="1" x14ac:dyDescent="0.25">
      <c r="A884" s="6"/>
      <c r="B884" s="6"/>
      <c r="C884" s="6"/>
      <c r="D884" s="6"/>
      <c r="E884" s="7"/>
      <c r="F884" s="6"/>
      <c r="G884" s="6"/>
    </row>
    <row r="885" spans="1:7" ht="12.75" customHeight="1" x14ac:dyDescent="0.25">
      <c r="A885" s="6"/>
      <c r="B885" s="6"/>
      <c r="C885" s="6"/>
      <c r="D885" s="6"/>
      <c r="E885" s="7"/>
      <c r="F885" s="6"/>
      <c r="G885" s="6"/>
    </row>
    <row r="886" spans="1:7" ht="12.75" customHeight="1" x14ac:dyDescent="0.25">
      <c r="A886" s="6"/>
      <c r="B886" s="6"/>
      <c r="C886" s="6"/>
      <c r="D886" s="6"/>
      <c r="E886" s="7"/>
      <c r="F886" s="6"/>
      <c r="G886" s="6"/>
    </row>
    <row r="887" spans="1:7" ht="12.75" customHeight="1" x14ac:dyDescent="0.25">
      <c r="A887" s="6"/>
      <c r="B887" s="6"/>
      <c r="C887" s="6"/>
      <c r="D887" s="6"/>
      <c r="E887" s="7"/>
      <c r="F887" s="6"/>
      <c r="G887" s="6"/>
    </row>
    <row r="888" spans="1:7" ht="12.75" customHeight="1" x14ac:dyDescent="0.25">
      <c r="A888" s="6"/>
      <c r="B888" s="6"/>
      <c r="C888" s="6"/>
      <c r="D888" s="6"/>
      <c r="E888" s="7"/>
      <c r="F888" s="6"/>
      <c r="G888" s="6"/>
    </row>
    <row r="889" spans="1:7" ht="12.75" customHeight="1" x14ac:dyDescent="0.25">
      <c r="A889" s="6"/>
      <c r="B889" s="6"/>
      <c r="C889" s="6"/>
      <c r="D889" s="6"/>
      <c r="E889" s="7"/>
      <c r="F889" s="6"/>
      <c r="G889" s="6"/>
    </row>
    <row r="890" spans="1:7" ht="12.75" customHeight="1" x14ac:dyDescent="0.25">
      <c r="A890" s="6"/>
      <c r="B890" s="6"/>
      <c r="C890" s="6"/>
      <c r="D890" s="6"/>
      <c r="E890" s="7"/>
      <c r="F890" s="6"/>
      <c r="G890" s="6"/>
    </row>
    <row r="891" spans="1:7" ht="12.75" customHeight="1" x14ac:dyDescent="0.25">
      <c r="A891" s="6"/>
      <c r="B891" s="6"/>
      <c r="C891" s="6"/>
      <c r="D891" s="6"/>
      <c r="E891" s="7"/>
      <c r="F891" s="6"/>
      <c r="G891" s="6"/>
    </row>
    <row r="892" spans="1:7" ht="12.75" customHeight="1" x14ac:dyDescent="0.25">
      <c r="A892" s="6"/>
      <c r="B892" s="6"/>
      <c r="C892" s="6"/>
      <c r="D892" s="6"/>
      <c r="E892" s="7"/>
      <c r="F892" s="6"/>
      <c r="G892" s="6"/>
    </row>
    <row r="893" spans="1:7" ht="12.75" customHeight="1" x14ac:dyDescent="0.25">
      <c r="A893" s="6"/>
      <c r="B893" s="6"/>
      <c r="C893" s="6"/>
      <c r="D893" s="6"/>
      <c r="E893" s="7"/>
      <c r="F893" s="6"/>
      <c r="G893" s="6"/>
    </row>
    <row r="894" spans="1:7" ht="12.75" customHeight="1" x14ac:dyDescent="0.25">
      <c r="A894" s="6"/>
      <c r="B894" s="6"/>
      <c r="C894" s="6"/>
      <c r="D894" s="6"/>
      <c r="E894" s="7"/>
      <c r="F894" s="6"/>
      <c r="G894" s="6"/>
    </row>
    <row r="895" spans="1:7" ht="12.75" customHeight="1" x14ac:dyDescent="0.25">
      <c r="A895" s="6"/>
      <c r="B895" s="6"/>
      <c r="C895" s="6"/>
      <c r="D895" s="6"/>
      <c r="E895" s="7"/>
      <c r="F895" s="6"/>
      <c r="G895" s="6"/>
    </row>
    <row r="896" spans="1:7" ht="12.75" customHeight="1" x14ac:dyDescent="0.25">
      <c r="A896" s="6"/>
      <c r="B896" s="6"/>
      <c r="C896" s="6"/>
      <c r="D896" s="6"/>
      <c r="E896" s="7"/>
      <c r="F896" s="6"/>
      <c r="G896" s="6"/>
    </row>
    <row r="897" spans="1:7" ht="12.75" customHeight="1" x14ac:dyDescent="0.25">
      <c r="A897" s="6"/>
      <c r="B897" s="6"/>
      <c r="C897" s="6"/>
      <c r="D897" s="6"/>
      <c r="E897" s="7"/>
      <c r="F897" s="6"/>
      <c r="G897" s="6"/>
    </row>
    <row r="898" spans="1:7" ht="12.75" customHeight="1" x14ac:dyDescent="0.25">
      <c r="A898" s="6"/>
      <c r="B898" s="6"/>
      <c r="C898" s="6"/>
      <c r="D898" s="6"/>
      <c r="E898" s="7"/>
      <c r="F898" s="6"/>
      <c r="G898" s="6"/>
    </row>
    <row r="899" spans="1:7" ht="12.75" customHeight="1" x14ac:dyDescent="0.25">
      <c r="A899" s="6"/>
      <c r="B899" s="6"/>
      <c r="C899" s="6"/>
      <c r="D899" s="6"/>
      <c r="E899" s="7"/>
      <c r="F899" s="6"/>
      <c r="G899" s="6"/>
    </row>
    <row r="900" spans="1:7" ht="12.75" customHeight="1" x14ac:dyDescent="0.25">
      <c r="A900" s="6"/>
      <c r="B900" s="6"/>
      <c r="C900" s="6"/>
      <c r="D900" s="6"/>
      <c r="E900" s="7"/>
      <c r="F900" s="6"/>
      <c r="G900" s="6"/>
    </row>
    <row r="901" spans="1:7" ht="12.75" customHeight="1" x14ac:dyDescent="0.25">
      <c r="A901" s="6"/>
      <c r="B901" s="6"/>
      <c r="C901" s="6"/>
      <c r="D901" s="6"/>
      <c r="E901" s="7"/>
      <c r="F901" s="6"/>
      <c r="G901" s="6"/>
    </row>
    <row r="902" spans="1:7" ht="12.75" customHeight="1" x14ac:dyDescent="0.25">
      <c r="A902" s="6"/>
      <c r="B902" s="6"/>
      <c r="C902" s="6"/>
      <c r="D902" s="6"/>
      <c r="E902" s="7"/>
      <c r="F902" s="6"/>
      <c r="G902" s="6"/>
    </row>
    <row r="903" spans="1:7" ht="12.75" customHeight="1" x14ac:dyDescent="0.25">
      <c r="A903" s="6"/>
      <c r="B903" s="6"/>
      <c r="C903" s="6"/>
      <c r="D903" s="6"/>
      <c r="E903" s="7"/>
      <c r="F903" s="6"/>
      <c r="G903" s="6"/>
    </row>
    <row r="904" spans="1:7" ht="12.75" customHeight="1" x14ac:dyDescent="0.25">
      <c r="A904" s="6"/>
      <c r="B904" s="6"/>
      <c r="C904" s="6"/>
      <c r="D904" s="6"/>
      <c r="E904" s="7"/>
      <c r="F904" s="6"/>
      <c r="G904" s="6"/>
    </row>
    <row r="905" spans="1:7" ht="12.75" customHeight="1" x14ac:dyDescent="0.25">
      <c r="A905" s="6"/>
      <c r="B905" s="6"/>
      <c r="C905" s="6"/>
      <c r="D905" s="6"/>
      <c r="E905" s="7"/>
      <c r="F905" s="6"/>
      <c r="G905" s="6"/>
    </row>
    <row r="906" spans="1:7" ht="12.75" customHeight="1" x14ac:dyDescent="0.25">
      <c r="A906" s="6"/>
      <c r="B906" s="6"/>
      <c r="C906" s="6"/>
      <c r="D906" s="6"/>
      <c r="E906" s="7"/>
      <c r="F906" s="6"/>
      <c r="G906" s="6"/>
    </row>
    <row r="907" spans="1:7" ht="12.75" customHeight="1" x14ac:dyDescent="0.25">
      <c r="A907" s="6"/>
      <c r="B907" s="6"/>
      <c r="C907" s="6"/>
      <c r="D907" s="6"/>
      <c r="E907" s="7"/>
      <c r="F907" s="6"/>
      <c r="G907" s="6"/>
    </row>
    <row r="908" spans="1:7" ht="12.75" customHeight="1" x14ac:dyDescent="0.25">
      <c r="A908" s="6"/>
      <c r="B908" s="6"/>
      <c r="C908" s="6"/>
      <c r="D908" s="6"/>
      <c r="E908" s="7"/>
      <c r="F908" s="6"/>
      <c r="G908" s="6"/>
    </row>
    <row r="909" spans="1:7" ht="12.75" customHeight="1" x14ac:dyDescent="0.25">
      <c r="A909" s="6"/>
      <c r="B909" s="6"/>
      <c r="C909" s="6"/>
      <c r="D909" s="6"/>
      <c r="E909" s="7"/>
      <c r="F909" s="6"/>
      <c r="G909" s="6"/>
    </row>
    <row r="910" spans="1:7" ht="12.75" customHeight="1" x14ac:dyDescent="0.25">
      <c r="A910" s="6"/>
      <c r="B910" s="6"/>
      <c r="C910" s="6"/>
      <c r="D910" s="6"/>
      <c r="E910" s="7"/>
      <c r="F910" s="6"/>
      <c r="G910" s="6"/>
    </row>
    <row r="911" spans="1:7" ht="12.75" customHeight="1" x14ac:dyDescent="0.25">
      <c r="A911" s="6"/>
      <c r="B911" s="6"/>
      <c r="C911" s="6"/>
      <c r="D911" s="6"/>
      <c r="E911" s="7"/>
      <c r="F911" s="6"/>
      <c r="G911" s="6"/>
    </row>
    <row r="912" spans="1:7" ht="12.75" customHeight="1" x14ac:dyDescent="0.25">
      <c r="A912" s="6"/>
      <c r="B912" s="6"/>
      <c r="C912" s="6"/>
      <c r="D912" s="6"/>
      <c r="E912" s="7"/>
      <c r="F912" s="6"/>
      <c r="G912" s="6"/>
    </row>
    <row r="913" spans="1:7" ht="12.75" customHeight="1" x14ac:dyDescent="0.25">
      <c r="A913" s="6"/>
      <c r="B913" s="6"/>
      <c r="C913" s="6"/>
      <c r="D913" s="6"/>
      <c r="E913" s="7"/>
      <c r="F913" s="6"/>
      <c r="G913" s="6"/>
    </row>
    <row r="914" spans="1:7" ht="12.75" customHeight="1" x14ac:dyDescent="0.25">
      <c r="A914" s="6"/>
      <c r="B914" s="6"/>
      <c r="C914" s="6"/>
      <c r="D914" s="6"/>
      <c r="E914" s="7"/>
      <c r="F914" s="6"/>
      <c r="G914" s="6"/>
    </row>
    <row r="915" spans="1:7" ht="12.75" customHeight="1" x14ac:dyDescent="0.25">
      <c r="A915" s="6"/>
      <c r="B915" s="6"/>
      <c r="C915" s="6"/>
      <c r="D915" s="6"/>
      <c r="E915" s="7"/>
      <c r="F915" s="6"/>
      <c r="G915" s="6"/>
    </row>
    <row r="916" spans="1:7" ht="12.75" customHeight="1" x14ac:dyDescent="0.25">
      <c r="A916" s="6"/>
      <c r="B916" s="6"/>
      <c r="C916" s="6"/>
      <c r="D916" s="6"/>
      <c r="E916" s="7"/>
      <c r="F916" s="6"/>
      <c r="G916" s="6"/>
    </row>
    <row r="917" spans="1:7" ht="12.75" customHeight="1" x14ac:dyDescent="0.25">
      <c r="A917" s="6"/>
      <c r="B917" s="6"/>
      <c r="C917" s="6"/>
      <c r="D917" s="6"/>
      <c r="E917" s="7"/>
      <c r="F917" s="6"/>
      <c r="G917" s="6"/>
    </row>
    <row r="918" spans="1:7" ht="12.75" customHeight="1" x14ac:dyDescent="0.25">
      <c r="A918" s="6"/>
      <c r="B918" s="6"/>
      <c r="C918" s="6"/>
      <c r="D918" s="6"/>
      <c r="E918" s="7"/>
      <c r="F918" s="6"/>
      <c r="G918" s="6"/>
    </row>
    <row r="919" spans="1:7" ht="12.75" customHeight="1" x14ac:dyDescent="0.25">
      <c r="A919" s="6"/>
      <c r="B919" s="6"/>
      <c r="C919" s="6"/>
      <c r="D919" s="6"/>
      <c r="E919" s="7"/>
      <c r="F919" s="6"/>
      <c r="G919" s="6"/>
    </row>
    <row r="920" spans="1:7" ht="12.75" customHeight="1" x14ac:dyDescent="0.25">
      <c r="A920" s="6"/>
      <c r="B920" s="6"/>
      <c r="C920" s="6"/>
      <c r="D920" s="6"/>
      <c r="E920" s="7"/>
      <c r="F920" s="6"/>
      <c r="G920" s="6"/>
    </row>
    <row r="921" spans="1:7" ht="12.75" customHeight="1" x14ac:dyDescent="0.25">
      <c r="A921" s="6"/>
      <c r="B921" s="6"/>
      <c r="C921" s="6"/>
      <c r="D921" s="6"/>
      <c r="E921" s="7"/>
      <c r="F921" s="6"/>
      <c r="G921" s="6"/>
    </row>
    <row r="922" spans="1:7" ht="12.75" customHeight="1" x14ac:dyDescent="0.25">
      <c r="A922" s="6"/>
      <c r="B922" s="6"/>
      <c r="C922" s="6"/>
      <c r="D922" s="6"/>
      <c r="E922" s="7"/>
      <c r="F922" s="6"/>
      <c r="G922" s="6"/>
    </row>
    <row r="923" spans="1:7" ht="12.75" customHeight="1" x14ac:dyDescent="0.25">
      <c r="A923" s="6"/>
      <c r="B923" s="6"/>
      <c r="C923" s="6"/>
      <c r="D923" s="6"/>
      <c r="E923" s="7"/>
      <c r="F923" s="6"/>
      <c r="G923" s="6"/>
    </row>
    <row r="924" spans="1:7" ht="12.75" customHeight="1" x14ac:dyDescent="0.25">
      <c r="A924" s="6"/>
      <c r="B924" s="6"/>
      <c r="C924" s="6"/>
      <c r="D924" s="6"/>
      <c r="E924" s="7"/>
      <c r="F924" s="6"/>
      <c r="G924" s="6"/>
    </row>
    <row r="925" spans="1:7" ht="12.75" customHeight="1" x14ac:dyDescent="0.25">
      <c r="A925" s="6"/>
      <c r="B925" s="6"/>
      <c r="C925" s="6"/>
      <c r="D925" s="6"/>
      <c r="E925" s="7"/>
      <c r="F925" s="6"/>
      <c r="G925" s="6"/>
    </row>
    <row r="926" spans="1:7" ht="12.75" customHeight="1" x14ac:dyDescent="0.25">
      <c r="A926" s="6"/>
      <c r="B926" s="6"/>
      <c r="C926" s="6"/>
      <c r="D926" s="6"/>
      <c r="E926" s="7"/>
      <c r="F926" s="6"/>
      <c r="G926" s="6"/>
    </row>
    <row r="927" spans="1:7" ht="12.75" customHeight="1" x14ac:dyDescent="0.25">
      <c r="A927" s="6"/>
      <c r="B927" s="6"/>
      <c r="C927" s="6"/>
      <c r="D927" s="6"/>
      <c r="E927" s="7"/>
      <c r="F927" s="6"/>
      <c r="G927" s="6"/>
    </row>
    <row r="928" spans="1:7" ht="12.75" customHeight="1" x14ac:dyDescent="0.25">
      <c r="A928" s="6"/>
      <c r="B928" s="6"/>
      <c r="C928" s="6"/>
      <c r="D928" s="6"/>
      <c r="E928" s="7"/>
      <c r="F928" s="6"/>
      <c r="G928" s="6"/>
    </row>
    <row r="929" spans="1:7" ht="12.75" customHeight="1" x14ac:dyDescent="0.25">
      <c r="A929" s="6"/>
      <c r="B929" s="6"/>
      <c r="C929" s="6"/>
      <c r="D929" s="6"/>
      <c r="E929" s="7"/>
      <c r="F929" s="6"/>
      <c r="G929" s="6"/>
    </row>
    <row r="930" spans="1:7" ht="12.75" customHeight="1" x14ac:dyDescent="0.25">
      <c r="A930" s="6"/>
      <c r="B930" s="6"/>
      <c r="C930" s="6"/>
      <c r="D930" s="6"/>
      <c r="E930" s="7"/>
      <c r="F930" s="6"/>
      <c r="G930" s="6"/>
    </row>
    <row r="931" spans="1:7" ht="12.75" customHeight="1" x14ac:dyDescent="0.25">
      <c r="A931" s="6"/>
      <c r="B931" s="6"/>
      <c r="C931" s="6"/>
      <c r="D931" s="6"/>
      <c r="E931" s="7"/>
      <c r="F931" s="6"/>
      <c r="G931" s="6"/>
    </row>
    <row r="932" spans="1:7" ht="12.75" customHeight="1" x14ac:dyDescent="0.25">
      <c r="A932" s="6"/>
      <c r="B932" s="6"/>
      <c r="C932" s="6"/>
      <c r="D932" s="6"/>
      <c r="E932" s="7"/>
      <c r="F932" s="6"/>
      <c r="G932" s="6"/>
    </row>
    <row r="933" spans="1:7" ht="12.75" customHeight="1" x14ac:dyDescent="0.25">
      <c r="A933" s="6"/>
      <c r="B933" s="6"/>
      <c r="C933" s="6"/>
      <c r="D933" s="6"/>
      <c r="E933" s="7"/>
      <c r="F933" s="6"/>
      <c r="G933" s="6"/>
    </row>
    <row r="934" spans="1:7" ht="12.75" customHeight="1" x14ac:dyDescent="0.25">
      <c r="A934" s="6"/>
      <c r="B934" s="6"/>
      <c r="C934" s="6"/>
      <c r="D934" s="6"/>
      <c r="E934" s="7"/>
      <c r="F934" s="6"/>
      <c r="G934" s="6"/>
    </row>
    <row r="935" spans="1:7" ht="12.75" customHeight="1" x14ac:dyDescent="0.25">
      <c r="A935" s="6"/>
      <c r="B935" s="6"/>
      <c r="C935" s="6"/>
      <c r="D935" s="6"/>
      <c r="E935" s="7"/>
      <c r="F935" s="6"/>
      <c r="G935" s="6"/>
    </row>
    <row r="936" spans="1:7" ht="12.75" customHeight="1" x14ac:dyDescent="0.25">
      <c r="A936" s="6"/>
      <c r="B936" s="6"/>
      <c r="C936" s="6"/>
      <c r="D936" s="6"/>
      <c r="E936" s="7"/>
      <c r="F936" s="6"/>
      <c r="G936" s="6"/>
    </row>
    <row r="937" spans="1:7" ht="12.75" customHeight="1" x14ac:dyDescent="0.25">
      <c r="A937" s="6"/>
      <c r="B937" s="6"/>
      <c r="C937" s="6"/>
      <c r="D937" s="6"/>
      <c r="E937" s="7"/>
      <c r="F937" s="6"/>
      <c r="G937" s="6"/>
    </row>
    <row r="938" spans="1:7" ht="12.75" customHeight="1" x14ac:dyDescent="0.25">
      <c r="A938" s="6"/>
      <c r="B938" s="6"/>
      <c r="C938" s="6"/>
      <c r="D938" s="6"/>
      <c r="E938" s="7"/>
      <c r="F938" s="6"/>
      <c r="G938" s="6"/>
    </row>
    <row r="939" spans="1:7" ht="12.75" customHeight="1" x14ac:dyDescent="0.25">
      <c r="A939" s="6"/>
      <c r="B939" s="6"/>
      <c r="C939" s="6"/>
      <c r="D939" s="6"/>
      <c r="E939" s="7"/>
      <c r="F939" s="6"/>
      <c r="G939" s="6"/>
    </row>
    <row r="940" spans="1:7" ht="12.75" customHeight="1" x14ac:dyDescent="0.25">
      <c r="A940" s="6"/>
      <c r="B940" s="6"/>
      <c r="C940" s="6"/>
      <c r="D940" s="6"/>
      <c r="E940" s="7"/>
      <c r="F940" s="6"/>
      <c r="G940" s="6"/>
    </row>
    <row r="941" spans="1:7" ht="12.75" customHeight="1" x14ac:dyDescent="0.25">
      <c r="A941" s="6"/>
      <c r="B941" s="6"/>
      <c r="C941" s="6"/>
      <c r="D941" s="6"/>
      <c r="E941" s="7"/>
      <c r="F941" s="6"/>
      <c r="G941" s="6"/>
    </row>
    <row r="942" spans="1:7" ht="12.75" customHeight="1" x14ac:dyDescent="0.25">
      <c r="A942" s="6"/>
      <c r="B942" s="6"/>
      <c r="C942" s="6"/>
      <c r="D942" s="6"/>
      <c r="E942" s="7"/>
      <c r="F942" s="6"/>
      <c r="G942" s="6"/>
    </row>
    <row r="943" spans="1:7" ht="12.75" customHeight="1" x14ac:dyDescent="0.25">
      <c r="A943" s="6"/>
      <c r="B943" s="6"/>
      <c r="C943" s="6"/>
      <c r="D943" s="6"/>
      <c r="E943" s="7"/>
      <c r="F943" s="6"/>
      <c r="G943" s="6"/>
    </row>
    <row r="944" spans="1:7" ht="12.75" customHeight="1" x14ac:dyDescent="0.25">
      <c r="A944" s="6"/>
      <c r="B944" s="6"/>
      <c r="C944" s="6"/>
      <c r="D944" s="6"/>
      <c r="E944" s="7"/>
      <c r="F944" s="6"/>
      <c r="G944" s="6"/>
    </row>
    <row r="945" spans="1:7" ht="12.75" customHeight="1" x14ac:dyDescent="0.25">
      <c r="A945" s="6"/>
      <c r="B945" s="6"/>
      <c r="C945" s="6"/>
      <c r="D945" s="6"/>
      <c r="E945" s="7"/>
      <c r="F945" s="6"/>
      <c r="G945" s="6"/>
    </row>
    <row r="946" spans="1:7" ht="12.75" customHeight="1" x14ac:dyDescent="0.25">
      <c r="A946" s="6"/>
      <c r="B946" s="6"/>
      <c r="C946" s="6"/>
      <c r="D946" s="6"/>
      <c r="E946" s="7"/>
      <c r="F946" s="6"/>
      <c r="G946" s="6"/>
    </row>
    <row r="947" spans="1:7" ht="12.75" customHeight="1" x14ac:dyDescent="0.25">
      <c r="A947" s="6"/>
      <c r="B947" s="6"/>
      <c r="C947" s="6"/>
      <c r="D947" s="6"/>
      <c r="E947" s="7"/>
      <c r="F947" s="6"/>
      <c r="G947" s="6"/>
    </row>
    <row r="948" spans="1:7" ht="12.75" customHeight="1" x14ac:dyDescent="0.25">
      <c r="A948" s="6"/>
      <c r="B948" s="6"/>
      <c r="C948" s="6"/>
      <c r="D948" s="6"/>
      <c r="E948" s="7"/>
      <c r="F948" s="6"/>
      <c r="G948" s="6"/>
    </row>
    <row r="949" spans="1:7" ht="12.75" customHeight="1" x14ac:dyDescent="0.25">
      <c r="A949" s="6"/>
      <c r="B949" s="6"/>
      <c r="C949" s="6"/>
      <c r="D949" s="6"/>
      <c r="E949" s="7"/>
      <c r="F949" s="6"/>
      <c r="G949" s="6"/>
    </row>
    <row r="950" spans="1:7" ht="12.75" customHeight="1" x14ac:dyDescent="0.25">
      <c r="A950" s="6"/>
      <c r="B950" s="6"/>
      <c r="C950" s="6"/>
      <c r="D950" s="6"/>
      <c r="E950" s="7"/>
      <c r="F950" s="6"/>
      <c r="G950" s="6"/>
    </row>
    <row r="951" spans="1:7" ht="12.75" customHeight="1" x14ac:dyDescent="0.25">
      <c r="A951" s="6"/>
      <c r="B951" s="6"/>
      <c r="C951" s="6"/>
      <c r="D951" s="6"/>
      <c r="E951" s="7"/>
      <c r="F951" s="6"/>
      <c r="G951" s="6"/>
    </row>
    <row r="952" spans="1:7" ht="12.75" customHeight="1" x14ac:dyDescent="0.25">
      <c r="A952" s="6"/>
      <c r="B952" s="6"/>
      <c r="C952" s="6"/>
      <c r="D952" s="6"/>
      <c r="E952" s="7"/>
      <c r="F952" s="6"/>
      <c r="G952" s="6"/>
    </row>
    <row r="953" spans="1:7" ht="12.75" customHeight="1" x14ac:dyDescent="0.25">
      <c r="A953" s="6"/>
      <c r="B953" s="6"/>
      <c r="C953" s="6"/>
      <c r="D953" s="6"/>
      <c r="E953" s="7"/>
      <c r="F953" s="6"/>
      <c r="G953" s="6"/>
    </row>
    <row r="954" spans="1:7" ht="12.75" customHeight="1" x14ac:dyDescent="0.25">
      <c r="A954" s="6"/>
      <c r="B954" s="6"/>
      <c r="C954" s="6"/>
      <c r="D954" s="6"/>
      <c r="E954" s="7"/>
      <c r="F954" s="6"/>
      <c r="G954" s="6"/>
    </row>
    <row r="955" spans="1:7" ht="12.75" customHeight="1" x14ac:dyDescent="0.25">
      <c r="A955" s="6"/>
      <c r="B955" s="6"/>
      <c r="C955" s="6"/>
      <c r="D955" s="6"/>
      <c r="E955" s="7"/>
      <c r="F955" s="6"/>
      <c r="G955" s="6"/>
    </row>
    <row r="956" spans="1:7" ht="12.75" customHeight="1" x14ac:dyDescent="0.25">
      <c r="A956" s="6"/>
      <c r="B956" s="6"/>
      <c r="C956" s="6"/>
      <c r="D956" s="6"/>
      <c r="E956" s="7"/>
      <c r="F956" s="6"/>
      <c r="G956" s="6"/>
    </row>
    <row r="957" spans="1:7" ht="12.75" customHeight="1" x14ac:dyDescent="0.25">
      <c r="A957" s="6"/>
      <c r="B957" s="6"/>
      <c r="C957" s="6"/>
      <c r="D957" s="6"/>
      <c r="E957" s="7"/>
      <c r="F957" s="6"/>
      <c r="G957" s="6"/>
    </row>
    <row r="958" spans="1:7" ht="12.75" customHeight="1" x14ac:dyDescent="0.25">
      <c r="A958" s="6"/>
      <c r="B958" s="6"/>
      <c r="C958" s="6"/>
      <c r="D958" s="6"/>
      <c r="E958" s="7"/>
      <c r="F958" s="6"/>
      <c r="G958" s="6"/>
    </row>
    <row r="959" spans="1:7" ht="12.75" customHeight="1" x14ac:dyDescent="0.25">
      <c r="A959" s="6"/>
      <c r="B959" s="6"/>
      <c r="C959" s="6"/>
      <c r="D959" s="6"/>
      <c r="E959" s="7"/>
      <c r="F959" s="6"/>
      <c r="G959" s="6"/>
    </row>
    <row r="960" spans="1:7" ht="12.75" customHeight="1" x14ac:dyDescent="0.25">
      <c r="A960" s="6"/>
      <c r="B960" s="6"/>
      <c r="C960" s="6"/>
      <c r="D960" s="6"/>
      <c r="E960" s="7"/>
      <c r="F960" s="6"/>
      <c r="G960" s="6"/>
    </row>
    <row r="961" spans="1:7" ht="12.75" customHeight="1" x14ac:dyDescent="0.25">
      <c r="A961" s="6"/>
      <c r="B961" s="6"/>
      <c r="C961" s="6"/>
      <c r="D961" s="6"/>
      <c r="E961" s="7"/>
      <c r="F961" s="6"/>
      <c r="G961" s="6"/>
    </row>
    <row r="962" spans="1:7" ht="12.75" customHeight="1" x14ac:dyDescent="0.25">
      <c r="A962" s="6"/>
      <c r="B962" s="6"/>
      <c r="C962" s="6"/>
      <c r="D962" s="6"/>
      <c r="E962" s="7"/>
      <c r="F962" s="6"/>
      <c r="G962" s="6"/>
    </row>
    <row r="963" spans="1:7" ht="12.75" customHeight="1" x14ac:dyDescent="0.25">
      <c r="A963" s="6"/>
      <c r="B963" s="6"/>
      <c r="C963" s="6"/>
      <c r="D963" s="6"/>
      <c r="E963" s="7"/>
      <c r="F963" s="6"/>
      <c r="G963" s="6"/>
    </row>
    <row r="964" spans="1:7" ht="12.75" customHeight="1" x14ac:dyDescent="0.25">
      <c r="A964" s="6"/>
      <c r="B964" s="6"/>
      <c r="C964" s="6"/>
      <c r="D964" s="6"/>
      <c r="E964" s="7"/>
      <c r="F964" s="6"/>
      <c r="G964" s="6"/>
    </row>
    <row r="965" spans="1:7" ht="12.75" customHeight="1" x14ac:dyDescent="0.25">
      <c r="A965" s="6"/>
      <c r="B965" s="6"/>
      <c r="C965" s="6"/>
      <c r="D965" s="6"/>
      <c r="E965" s="7"/>
      <c r="F965" s="6"/>
      <c r="G965" s="6"/>
    </row>
    <row r="966" spans="1:7" ht="12.75" customHeight="1" x14ac:dyDescent="0.25">
      <c r="A966" s="6"/>
      <c r="B966" s="6"/>
      <c r="C966" s="6"/>
      <c r="D966" s="6"/>
      <c r="E966" s="7"/>
      <c r="F966" s="6"/>
      <c r="G966" s="6"/>
    </row>
    <row r="967" spans="1:7" ht="12.75" customHeight="1" x14ac:dyDescent="0.25">
      <c r="A967" s="6"/>
      <c r="B967" s="6"/>
      <c r="C967" s="6"/>
      <c r="D967" s="6"/>
      <c r="E967" s="7"/>
      <c r="F967" s="6"/>
      <c r="G967" s="6"/>
    </row>
    <row r="968" spans="1:7" ht="12.75" customHeight="1" x14ac:dyDescent="0.25">
      <c r="A968" s="6"/>
      <c r="B968" s="6"/>
      <c r="C968" s="6"/>
      <c r="D968" s="6"/>
      <c r="E968" s="7"/>
      <c r="F968" s="6"/>
      <c r="G968" s="6"/>
    </row>
    <row r="969" spans="1:7" ht="12.75" customHeight="1" x14ac:dyDescent="0.25">
      <c r="A969" s="6"/>
      <c r="B969" s="6"/>
      <c r="C969" s="6"/>
      <c r="D969" s="6"/>
      <c r="E969" s="7"/>
      <c r="F969" s="6"/>
      <c r="G969" s="6"/>
    </row>
    <row r="970" spans="1:7" ht="12.75" customHeight="1" x14ac:dyDescent="0.25">
      <c r="A970" s="6"/>
      <c r="B970" s="6"/>
      <c r="C970" s="6"/>
      <c r="D970" s="6"/>
      <c r="E970" s="7"/>
      <c r="F970" s="6"/>
      <c r="G970" s="6"/>
    </row>
    <row r="971" spans="1:7" ht="12.75" customHeight="1" x14ac:dyDescent="0.25">
      <c r="A971" s="6"/>
      <c r="B971" s="6"/>
      <c r="C971" s="6"/>
      <c r="D971" s="6"/>
      <c r="E971" s="7"/>
      <c r="F971" s="6"/>
      <c r="G971" s="6"/>
    </row>
    <row r="972" spans="1:7" ht="12.75" customHeight="1" x14ac:dyDescent="0.25">
      <c r="A972" s="6"/>
      <c r="B972" s="6"/>
      <c r="C972" s="6"/>
      <c r="D972" s="6"/>
      <c r="E972" s="7"/>
      <c r="F972" s="6"/>
      <c r="G972" s="6"/>
    </row>
    <row r="973" spans="1:7" ht="12.75" customHeight="1" x14ac:dyDescent="0.25">
      <c r="A973" s="6"/>
      <c r="B973" s="6"/>
      <c r="C973" s="6"/>
      <c r="D973" s="6"/>
      <c r="E973" s="7"/>
      <c r="F973" s="6"/>
      <c r="G973" s="6"/>
    </row>
    <row r="974" spans="1:7" ht="12.75" customHeight="1" x14ac:dyDescent="0.25">
      <c r="A974" s="6"/>
      <c r="B974" s="6"/>
      <c r="C974" s="6"/>
      <c r="D974" s="6"/>
      <c r="E974" s="7"/>
      <c r="F974" s="6"/>
      <c r="G974" s="6"/>
    </row>
    <row r="975" spans="1:7" ht="12.75" customHeight="1" x14ac:dyDescent="0.25">
      <c r="A975" s="6"/>
      <c r="B975" s="6"/>
      <c r="C975" s="6"/>
      <c r="D975" s="6"/>
      <c r="E975" s="7"/>
      <c r="F975" s="6"/>
      <c r="G975" s="6"/>
    </row>
    <row r="976" spans="1:7" ht="12.75" customHeight="1" x14ac:dyDescent="0.25">
      <c r="A976" s="6"/>
      <c r="B976" s="6"/>
      <c r="C976" s="6"/>
      <c r="D976" s="6"/>
      <c r="E976" s="7"/>
      <c r="F976" s="6"/>
      <c r="G976" s="6"/>
    </row>
    <row r="977" spans="1:7" ht="12.75" customHeight="1" x14ac:dyDescent="0.25">
      <c r="A977" s="6"/>
      <c r="B977" s="6"/>
      <c r="C977" s="6"/>
      <c r="D977" s="6"/>
      <c r="E977" s="7"/>
      <c r="F977" s="6"/>
      <c r="G977" s="6"/>
    </row>
    <row r="978" spans="1:7" ht="12.75" customHeight="1" x14ac:dyDescent="0.25">
      <c r="A978" s="6"/>
      <c r="B978" s="6"/>
      <c r="C978" s="6"/>
      <c r="D978" s="6"/>
      <c r="E978" s="7"/>
      <c r="F978" s="6"/>
      <c r="G978" s="6"/>
    </row>
    <row r="979" spans="1:7" ht="12.75" customHeight="1" x14ac:dyDescent="0.25">
      <c r="A979" s="6"/>
      <c r="B979" s="6"/>
      <c r="C979" s="6"/>
      <c r="D979" s="6"/>
      <c r="E979" s="7"/>
      <c r="F979" s="6"/>
      <c r="G979" s="6"/>
    </row>
    <row r="980" spans="1:7" ht="12.75" customHeight="1" x14ac:dyDescent="0.25">
      <c r="A980" s="6"/>
      <c r="B980" s="6"/>
      <c r="C980" s="6"/>
      <c r="D980" s="6"/>
      <c r="E980" s="7"/>
      <c r="F980" s="6"/>
      <c r="G980" s="6"/>
    </row>
    <row r="981" spans="1:7" ht="12.75" customHeight="1" x14ac:dyDescent="0.25">
      <c r="A981" s="6"/>
      <c r="B981" s="6"/>
      <c r="C981" s="6"/>
      <c r="D981" s="6"/>
      <c r="E981" s="7"/>
      <c r="F981" s="6"/>
      <c r="G981" s="6"/>
    </row>
    <row r="982" spans="1:7" ht="12.75" customHeight="1" x14ac:dyDescent="0.25">
      <c r="A982" s="6"/>
      <c r="B982" s="6"/>
      <c r="C982" s="6"/>
      <c r="D982" s="6"/>
      <c r="E982" s="7"/>
      <c r="F982" s="6"/>
      <c r="G982" s="6"/>
    </row>
    <row r="983" spans="1:7" ht="12.75" customHeight="1" x14ac:dyDescent="0.25">
      <c r="A983" s="6"/>
      <c r="B983" s="6"/>
      <c r="C983" s="6"/>
      <c r="D983" s="6"/>
      <c r="E983" s="7"/>
      <c r="F983" s="6"/>
      <c r="G983" s="6"/>
    </row>
    <row r="984" spans="1:7" ht="12.75" customHeight="1" x14ac:dyDescent="0.25">
      <c r="A984" s="6"/>
      <c r="B984" s="6"/>
      <c r="C984" s="6"/>
      <c r="D984" s="6"/>
      <c r="E984" s="7"/>
      <c r="F984" s="6"/>
      <c r="G984" s="6"/>
    </row>
    <row r="985" spans="1:7" ht="12.75" customHeight="1" x14ac:dyDescent="0.25">
      <c r="A985" s="6"/>
      <c r="B985" s="6"/>
      <c r="C985" s="6"/>
      <c r="D985" s="6"/>
      <c r="E985" s="7"/>
      <c r="F985" s="6"/>
      <c r="G985" s="6"/>
    </row>
    <row r="986" spans="1:7" ht="12.75" customHeight="1" x14ac:dyDescent="0.25">
      <c r="A986" s="6"/>
      <c r="B986" s="6"/>
      <c r="C986" s="6"/>
      <c r="D986" s="6"/>
      <c r="E986" s="7"/>
      <c r="F986" s="6"/>
      <c r="G986" s="6"/>
    </row>
    <row r="987" spans="1:7" ht="12.75" customHeight="1" x14ac:dyDescent="0.25">
      <c r="A987" s="6"/>
      <c r="B987" s="6"/>
      <c r="C987" s="6"/>
      <c r="D987" s="6"/>
      <c r="E987" s="7"/>
      <c r="F987" s="6"/>
      <c r="G987" s="6"/>
    </row>
    <row r="988" spans="1:7" ht="12.75" customHeight="1" x14ac:dyDescent="0.25">
      <c r="A988" s="6"/>
      <c r="B988" s="6"/>
      <c r="C988" s="6"/>
      <c r="D988" s="6"/>
      <c r="E988" s="7"/>
      <c r="F988" s="6"/>
      <c r="G988" s="6"/>
    </row>
    <row r="989" spans="1:7" ht="12.75" customHeight="1" x14ac:dyDescent="0.25">
      <c r="A989" s="6"/>
      <c r="B989" s="6"/>
      <c r="C989" s="6"/>
      <c r="D989" s="6"/>
      <c r="E989" s="7"/>
      <c r="F989" s="6"/>
      <c r="G989" s="6"/>
    </row>
    <row r="990" spans="1:7" ht="12.75" customHeight="1" x14ac:dyDescent="0.25">
      <c r="A990" s="6"/>
      <c r="B990" s="6"/>
      <c r="C990" s="6"/>
      <c r="D990" s="6"/>
      <c r="E990" s="7"/>
      <c r="F990" s="6"/>
      <c r="G990" s="6"/>
    </row>
    <row r="991" spans="1:7" ht="12.75" customHeight="1" x14ac:dyDescent="0.25">
      <c r="A991" s="6"/>
      <c r="B991" s="6"/>
      <c r="C991" s="6"/>
      <c r="D991" s="6"/>
      <c r="E991" s="7"/>
      <c r="F991" s="6"/>
      <c r="G991" s="6"/>
    </row>
    <row r="992" spans="1:7" ht="12.75" customHeight="1" x14ac:dyDescent="0.25">
      <c r="A992" s="6"/>
      <c r="B992" s="6"/>
      <c r="C992" s="6"/>
      <c r="D992" s="6"/>
      <c r="E992" s="7"/>
      <c r="F992" s="6"/>
      <c r="G992" s="6"/>
    </row>
    <row r="993" spans="1:7" ht="12.75" customHeight="1" x14ac:dyDescent="0.25">
      <c r="A993" s="6"/>
      <c r="B993" s="6"/>
      <c r="C993" s="6"/>
      <c r="D993" s="6"/>
      <c r="E993" s="7"/>
      <c r="F993" s="6"/>
      <c r="G993" s="6"/>
    </row>
  </sheetData>
  <phoneticPr fontId="21" type="noConversion"/>
  <conditionalFormatting sqref="A2:G2">
    <cfRule type="notContainsBlanks" dxfId="0" priority="1">
      <formula>LEN(TRIM(A2))&gt;0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B7B7B7"/>
    <outlinePr summaryBelow="0" summaryRight="0"/>
  </sheetPr>
  <dimension ref="A1:E14"/>
  <sheetViews>
    <sheetView workbookViewId="0">
      <pane ySplit="2" topLeftCell="A3" activePane="bottomLeft" state="frozen"/>
      <selection pane="bottomLeft" activeCell="D4" sqref="D4"/>
    </sheetView>
  </sheetViews>
  <sheetFormatPr defaultColWidth="12.54296875" defaultRowHeight="15.75" customHeight="1" x14ac:dyDescent="0.25"/>
  <cols>
    <col min="1" max="1" width="1.81640625" customWidth="1"/>
    <col min="2" max="2" width="16.1796875" customWidth="1"/>
    <col min="3" max="3" width="18" customWidth="1"/>
    <col min="4" max="4" width="20.81640625" customWidth="1"/>
    <col min="5" max="5" width="2.1796875" customWidth="1"/>
  </cols>
  <sheetData>
    <row r="1" spans="1:5" ht="12.75" customHeight="1" x14ac:dyDescent="0.25">
      <c r="A1" s="6"/>
      <c r="B1" s="6"/>
      <c r="C1" s="6"/>
      <c r="D1" s="7"/>
      <c r="E1" s="6"/>
    </row>
    <row r="2" spans="1:5" ht="21" customHeight="1" x14ac:dyDescent="0.25">
      <c r="A2" s="6"/>
      <c r="B2" s="25" t="s">
        <v>5</v>
      </c>
      <c r="C2" s="25" t="s">
        <v>6</v>
      </c>
      <c r="D2" s="26" t="s">
        <v>7</v>
      </c>
      <c r="E2" s="6"/>
    </row>
    <row r="3" spans="1:5" ht="15" customHeight="1" x14ac:dyDescent="0.25">
      <c r="A3" s="6"/>
      <c r="B3" s="27">
        <v>10</v>
      </c>
      <c r="C3" s="27" t="s">
        <v>524</v>
      </c>
      <c r="D3" s="28">
        <v>100000</v>
      </c>
      <c r="E3" s="6"/>
    </row>
    <row r="4" spans="1:5" ht="15" customHeight="1" x14ac:dyDescent="0.25">
      <c r="A4" s="6"/>
      <c r="B4" s="29">
        <v>20</v>
      </c>
      <c r="C4" s="29" t="s">
        <v>525</v>
      </c>
      <c r="D4" s="30">
        <v>200000</v>
      </c>
      <c r="E4" s="6"/>
    </row>
    <row r="5" spans="1:5" ht="15" customHeight="1" x14ac:dyDescent="0.25">
      <c r="A5" s="6"/>
      <c r="B5" s="29">
        <v>30</v>
      </c>
      <c r="C5" s="29" t="s">
        <v>526</v>
      </c>
      <c r="D5" s="30">
        <v>250000</v>
      </c>
      <c r="E5" s="6"/>
    </row>
    <row r="6" spans="1:5" ht="15" customHeight="1" x14ac:dyDescent="0.25">
      <c r="A6" s="6"/>
      <c r="B6" s="29">
        <v>50</v>
      </c>
      <c r="C6" s="29" t="s">
        <v>527</v>
      </c>
      <c r="D6" s="30">
        <v>350000</v>
      </c>
      <c r="E6" s="6"/>
    </row>
    <row r="7" spans="1:5" ht="15" customHeight="1" x14ac:dyDescent="0.25">
      <c r="A7" s="6"/>
      <c r="B7" s="29">
        <v>100</v>
      </c>
      <c r="C7" s="29" t="s">
        <v>528</v>
      </c>
      <c r="D7" s="30">
        <v>1850000</v>
      </c>
      <c r="E7" s="6"/>
    </row>
    <row r="8" spans="1:5" ht="15" customHeight="1" x14ac:dyDescent="0.25">
      <c r="A8" s="6"/>
      <c r="B8" s="29">
        <v>200</v>
      </c>
      <c r="C8" s="29" t="s">
        <v>529</v>
      </c>
      <c r="D8" s="30">
        <v>3700000</v>
      </c>
      <c r="E8" s="6"/>
    </row>
    <row r="9" spans="1:5" ht="15" customHeight="1" x14ac:dyDescent="0.25">
      <c r="A9" s="6"/>
      <c r="B9" s="38">
        <v>300</v>
      </c>
      <c r="C9" s="38" t="s">
        <v>530</v>
      </c>
      <c r="D9" s="39">
        <v>5550000</v>
      </c>
      <c r="E9" s="6"/>
    </row>
    <row r="10" spans="1:5" ht="15" customHeight="1" x14ac:dyDescent="0.25">
      <c r="A10" s="6"/>
      <c r="B10" s="40">
        <v>400</v>
      </c>
      <c r="C10" s="40" t="s">
        <v>531</v>
      </c>
      <c r="D10" s="41">
        <v>7400000</v>
      </c>
      <c r="E10" s="6"/>
    </row>
    <row r="11" spans="1:5" ht="15" customHeight="1" x14ac:dyDescent="0.25">
      <c r="A11" s="6"/>
      <c r="B11" s="40">
        <v>500</v>
      </c>
      <c r="C11" s="40" t="s">
        <v>532</v>
      </c>
      <c r="D11" s="41">
        <v>9250000</v>
      </c>
      <c r="E11" s="6"/>
    </row>
    <row r="12" spans="1:5" ht="15" customHeight="1" x14ac:dyDescent="0.25">
      <c r="A12" s="6"/>
      <c r="B12" s="40">
        <v>600</v>
      </c>
      <c r="C12" s="40" t="s">
        <v>533</v>
      </c>
      <c r="D12" s="41">
        <v>11100000</v>
      </c>
      <c r="E12" s="6"/>
    </row>
    <row r="13" spans="1:5" ht="15" customHeight="1" x14ac:dyDescent="0.25">
      <c r="A13" s="6"/>
      <c r="B13" s="40"/>
      <c r="C13" s="40"/>
      <c r="D13" s="41"/>
      <c r="E13" s="6"/>
    </row>
    <row r="14" spans="1:5" ht="9.75" customHeight="1" x14ac:dyDescent="0.25">
      <c r="A14" s="6"/>
      <c r="B14" s="6"/>
      <c r="C14" s="6"/>
      <c r="D14" s="7"/>
      <c r="E14" s="6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K27"/>
  <sheetViews>
    <sheetView workbookViewId="0"/>
  </sheetViews>
  <sheetFormatPr defaultColWidth="12.54296875" defaultRowHeight="15.75" customHeight="1" x14ac:dyDescent="0.25"/>
  <cols>
    <col min="1" max="1" width="7.54296875" customWidth="1"/>
    <col min="8" max="8" width="4.81640625" customWidth="1"/>
    <col min="9" max="9" width="4" customWidth="1"/>
    <col min="10" max="10" width="2.453125" customWidth="1"/>
    <col min="11" max="11" width="15.453125" customWidth="1"/>
  </cols>
  <sheetData>
    <row r="1" spans="1:11" ht="12.5" x14ac:dyDescent="0.25">
      <c r="A1" s="31"/>
      <c r="B1" s="31"/>
      <c r="C1" s="31"/>
      <c r="D1" s="31"/>
      <c r="E1" s="31"/>
      <c r="F1" s="31"/>
      <c r="G1" s="31"/>
      <c r="H1" s="31"/>
      <c r="I1" s="31"/>
      <c r="J1" s="31"/>
      <c r="K1" s="31"/>
    </row>
    <row r="2" spans="1:11" ht="12.5" x14ac:dyDescent="0.25">
      <c r="A2" s="31"/>
      <c r="B2" s="96"/>
      <c r="C2" s="77"/>
      <c r="D2" s="32"/>
      <c r="E2" s="32"/>
      <c r="F2" s="92"/>
      <c r="G2" s="77"/>
      <c r="H2" s="31"/>
      <c r="I2" s="33"/>
      <c r="J2" s="33"/>
      <c r="K2" s="31"/>
    </row>
    <row r="3" spans="1:11" ht="15.75" customHeight="1" x14ac:dyDescent="0.6">
      <c r="A3" s="31"/>
      <c r="B3" s="98" t="s">
        <v>502</v>
      </c>
      <c r="C3" s="99"/>
      <c r="D3" s="99"/>
      <c r="E3" s="99"/>
      <c r="F3" s="99"/>
      <c r="G3" s="100"/>
      <c r="H3" s="31"/>
      <c r="I3" s="33"/>
      <c r="J3" s="33"/>
      <c r="K3" s="31"/>
    </row>
    <row r="4" spans="1:11" ht="12.5" x14ac:dyDescent="0.25">
      <c r="A4" s="31"/>
      <c r="B4" s="96"/>
      <c r="C4" s="77"/>
      <c r="D4" s="77"/>
      <c r="E4" s="77"/>
      <c r="F4" s="77"/>
      <c r="G4" s="77"/>
      <c r="H4" s="31"/>
      <c r="I4" s="33"/>
      <c r="J4" s="33"/>
      <c r="K4" s="31"/>
    </row>
    <row r="5" spans="1:11" ht="12.5" x14ac:dyDescent="0.25">
      <c r="A5" s="31"/>
      <c r="B5" s="93"/>
      <c r="C5" s="94"/>
      <c r="D5" s="94"/>
      <c r="E5" s="94"/>
      <c r="F5" s="94"/>
      <c r="G5" s="94"/>
      <c r="H5" s="31"/>
      <c r="I5" s="33"/>
      <c r="J5" s="33"/>
      <c r="K5" s="31"/>
    </row>
    <row r="6" spans="1:11" ht="15.75" customHeight="1" x14ac:dyDescent="0.5">
      <c r="A6" s="31"/>
      <c r="B6" s="91" t="s">
        <v>534</v>
      </c>
      <c r="C6" s="90"/>
      <c r="D6" s="90"/>
      <c r="E6" s="90"/>
      <c r="F6" s="90"/>
      <c r="G6" s="90"/>
      <c r="H6" s="31"/>
      <c r="I6" s="33"/>
      <c r="J6" s="33"/>
      <c r="K6" s="31"/>
    </row>
    <row r="7" spans="1:11" ht="12.5" x14ac:dyDescent="0.25">
      <c r="A7" s="31"/>
      <c r="B7" s="101" t="s">
        <v>535</v>
      </c>
      <c r="C7" s="102"/>
      <c r="D7" s="102"/>
      <c r="E7" s="102"/>
      <c r="F7" s="102"/>
      <c r="G7" s="102"/>
      <c r="H7" s="31"/>
      <c r="I7" s="33"/>
      <c r="J7" s="33"/>
      <c r="K7" s="31"/>
    </row>
    <row r="8" spans="1:11" ht="12.5" x14ac:dyDescent="0.25">
      <c r="A8" s="31"/>
      <c r="B8" s="103"/>
      <c r="C8" s="77"/>
      <c r="D8" s="77"/>
      <c r="E8" s="77"/>
      <c r="F8" s="77"/>
      <c r="G8" s="77"/>
      <c r="H8" s="31"/>
      <c r="I8" s="33"/>
      <c r="J8" s="33"/>
      <c r="K8" s="31"/>
    </row>
    <row r="9" spans="1:11" ht="12.5" x14ac:dyDescent="0.25">
      <c r="A9" s="31"/>
      <c r="B9" s="104"/>
      <c r="C9" s="105"/>
      <c r="D9" s="105"/>
      <c r="E9" s="105"/>
      <c r="F9" s="105"/>
      <c r="G9" s="105"/>
      <c r="H9" s="31"/>
      <c r="I9" s="33"/>
      <c r="J9" s="33"/>
      <c r="K9" s="31"/>
    </row>
    <row r="10" spans="1:11" ht="12.5" x14ac:dyDescent="0.25">
      <c r="A10" s="31"/>
      <c r="B10" s="34"/>
      <c r="C10" s="35"/>
      <c r="D10" s="35"/>
      <c r="E10" s="35"/>
      <c r="F10" s="35"/>
      <c r="G10" s="35"/>
      <c r="H10" s="31"/>
      <c r="I10" s="33"/>
      <c r="J10" s="33"/>
      <c r="K10" s="31"/>
    </row>
    <row r="11" spans="1:11" ht="15.75" customHeight="1" x14ac:dyDescent="0.5">
      <c r="A11" s="31"/>
      <c r="B11" s="91" t="s">
        <v>536</v>
      </c>
      <c r="C11" s="90"/>
      <c r="D11" s="90"/>
      <c r="E11" s="90"/>
      <c r="F11" s="90"/>
      <c r="G11" s="90"/>
      <c r="H11" s="31"/>
      <c r="I11" s="33"/>
      <c r="J11" s="33"/>
      <c r="K11" s="31"/>
    </row>
    <row r="12" spans="1:11" ht="14" x14ac:dyDescent="0.4">
      <c r="A12" s="31"/>
      <c r="B12" s="107" t="s">
        <v>537</v>
      </c>
      <c r="C12" s="90"/>
      <c r="D12" s="90"/>
      <c r="E12" s="90"/>
      <c r="F12" s="90"/>
      <c r="G12" s="90"/>
      <c r="H12" s="31"/>
      <c r="I12" s="33"/>
      <c r="J12" s="33"/>
      <c r="K12" s="31"/>
    </row>
    <row r="13" spans="1:11" ht="14" x14ac:dyDescent="0.4">
      <c r="A13" s="31"/>
      <c r="B13" s="107" t="s">
        <v>538</v>
      </c>
      <c r="C13" s="90"/>
      <c r="D13" s="90"/>
      <c r="E13" s="90"/>
      <c r="F13" s="90"/>
      <c r="G13" s="90"/>
      <c r="H13" s="31"/>
      <c r="I13" s="33"/>
      <c r="J13" s="33"/>
      <c r="K13" s="31"/>
    </row>
    <row r="14" spans="1:11" ht="14" x14ac:dyDescent="0.4">
      <c r="A14" s="31"/>
      <c r="B14" s="101" t="s">
        <v>539</v>
      </c>
      <c r="C14" s="90"/>
      <c r="D14" s="90"/>
      <c r="E14" s="90"/>
      <c r="F14" s="90"/>
      <c r="G14" s="90"/>
      <c r="H14" s="31"/>
      <c r="I14" s="33"/>
      <c r="J14" s="33"/>
      <c r="K14" s="31"/>
    </row>
    <row r="15" spans="1:11" ht="14" x14ac:dyDescent="0.4">
      <c r="A15" s="31"/>
      <c r="B15" s="101" t="s">
        <v>540</v>
      </c>
      <c r="C15" s="90"/>
      <c r="D15" s="90"/>
      <c r="E15" s="90"/>
      <c r="F15" s="90"/>
      <c r="G15" s="90"/>
      <c r="H15" s="31"/>
      <c r="I15" s="33"/>
      <c r="J15" s="33"/>
      <c r="K15" s="31"/>
    </row>
    <row r="16" spans="1:11" ht="12.5" x14ac:dyDescent="0.25">
      <c r="A16" s="31"/>
      <c r="B16" s="34"/>
      <c r="C16" s="35"/>
      <c r="D16" s="35"/>
      <c r="E16" s="35"/>
      <c r="F16" s="35"/>
      <c r="G16" s="35"/>
      <c r="H16" s="31"/>
      <c r="I16" s="33"/>
      <c r="J16" s="33"/>
      <c r="K16" s="31"/>
    </row>
    <row r="17" spans="1:11" ht="15.75" customHeight="1" x14ac:dyDescent="0.5">
      <c r="A17" s="31"/>
      <c r="B17" s="91" t="s">
        <v>541</v>
      </c>
      <c r="C17" s="90"/>
      <c r="D17" s="90"/>
      <c r="E17" s="90"/>
      <c r="F17" s="90"/>
      <c r="G17" s="90"/>
      <c r="H17" s="31"/>
      <c r="I17" s="33"/>
      <c r="J17" s="33"/>
      <c r="K17" s="31"/>
    </row>
    <row r="18" spans="1:11" ht="14" x14ac:dyDescent="0.4">
      <c r="A18" s="31"/>
      <c r="B18" s="101" t="s">
        <v>542</v>
      </c>
      <c r="C18" s="90"/>
      <c r="D18" s="90"/>
      <c r="E18" s="90"/>
      <c r="F18" s="90"/>
      <c r="G18" s="90"/>
      <c r="H18" s="31"/>
      <c r="I18" s="33"/>
      <c r="J18" s="33"/>
      <c r="K18" s="31"/>
    </row>
    <row r="19" spans="1:11" ht="12.5" x14ac:dyDescent="0.25">
      <c r="A19" s="31"/>
      <c r="B19" s="36"/>
      <c r="C19" s="33"/>
      <c r="D19" s="33"/>
      <c r="E19" s="33"/>
      <c r="F19" s="33"/>
      <c r="G19" s="33"/>
      <c r="H19" s="31"/>
      <c r="I19" s="33"/>
      <c r="J19" s="33"/>
      <c r="K19" s="31"/>
    </row>
    <row r="20" spans="1:11" ht="15.75" customHeight="1" x14ac:dyDescent="0.5">
      <c r="A20" s="31"/>
      <c r="B20" s="91" t="s">
        <v>543</v>
      </c>
      <c r="C20" s="90"/>
      <c r="D20" s="90"/>
      <c r="E20" s="90"/>
      <c r="F20" s="90"/>
      <c r="G20" s="90"/>
      <c r="H20" s="31"/>
      <c r="I20" s="33"/>
      <c r="J20" s="33"/>
      <c r="K20" s="31"/>
    </row>
    <row r="21" spans="1:11" ht="14" x14ac:dyDescent="0.4">
      <c r="A21" s="31"/>
      <c r="B21" s="101" t="s">
        <v>544</v>
      </c>
      <c r="C21" s="90"/>
      <c r="D21" s="90"/>
      <c r="E21" s="90"/>
      <c r="F21" s="90"/>
      <c r="G21" s="90"/>
      <c r="H21" s="31"/>
      <c r="I21" s="33"/>
      <c r="J21" s="33"/>
      <c r="K21" s="31"/>
    </row>
    <row r="22" spans="1:11" ht="12.5" x14ac:dyDescent="0.25">
      <c r="A22" s="31"/>
      <c r="B22" s="106"/>
      <c r="C22" s="90"/>
      <c r="D22" s="90"/>
      <c r="E22" s="90"/>
      <c r="F22" s="90"/>
      <c r="G22" s="90"/>
      <c r="H22" s="31"/>
      <c r="I22" s="33"/>
      <c r="J22" s="33"/>
      <c r="K22" s="31"/>
    </row>
    <row r="23" spans="1:11" ht="12.5" x14ac:dyDescent="0.25">
      <c r="A23" s="31"/>
      <c r="B23" s="106"/>
      <c r="C23" s="90"/>
      <c r="D23" s="90"/>
      <c r="E23" s="90"/>
      <c r="F23" s="90"/>
      <c r="G23" s="90"/>
      <c r="H23" s="31"/>
      <c r="I23" s="33"/>
      <c r="J23" s="33"/>
      <c r="K23" s="31"/>
    </row>
    <row r="24" spans="1:11" ht="14.5" x14ac:dyDescent="0.4">
      <c r="A24" s="31"/>
      <c r="B24" s="89" t="s">
        <v>545</v>
      </c>
      <c r="C24" s="90"/>
      <c r="D24" s="90"/>
      <c r="E24" s="90"/>
      <c r="F24" s="90"/>
      <c r="G24" s="90"/>
      <c r="H24" s="31"/>
      <c r="I24" s="33"/>
      <c r="J24" s="33"/>
      <c r="K24" s="31"/>
    </row>
    <row r="25" spans="1:11" ht="12.5" x14ac:dyDescent="0.25">
      <c r="A25" s="31"/>
      <c r="B25" s="97"/>
      <c r="C25" s="90"/>
      <c r="D25" s="90"/>
      <c r="E25" s="90"/>
      <c r="F25" s="90"/>
      <c r="G25" s="90"/>
      <c r="H25" s="31"/>
      <c r="I25" s="33"/>
      <c r="J25" s="33"/>
      <c r="K25" s="31"/>
    </row>
    <row r="26" spans="1:11" ht="12.5" x14ac:dyDescent="0.25">
      <c r="A26" s="31"/>
      <c r="B26" s="34"/>
      <c r="C26" s="35"/>
      <c r="D26" s="35"/>
      <c r="E26" s="35"/>
      <c r="F26" s="35"/>
      <c r="G26" s="35"/>
      <c r="H26" s="31"/>
      <c r="I26" s="33"/>
      <c r="J26" s="33"/>
      <c r="K26" s="31"/>
    </row>
    <row r="27" spans="1:11" ht="12.5" x14ac:dyDescent="0.25">
      <c r="A27" s="31"/>
      <c r="B27" s="37"/>
      <c r="C27" s="95"/>
      <c r="D27" s="90"/>
      <c r="E27" s="90"/>
      <c r="F27" s="90"/>
      <c r="G27" s="90"/>
      <c r="H27" s="31"/>
      <c r="I27" s="31"/>
      <c r="J27" s="31"/>
      <c r="K27" s="31"/>
    </row>
  </sheetData>
  <mergeCells count="21">
    <mergeCell ref="B17:G17"/>
    <mergeCell ref="B13:G13"/>
    <mergeCell ref="B2:C2"/>
    <mergeCell ref="B15:G15"/>
    <mergeCell ref="B6:G6"/>
    <mergeCell ref="B24:G24"/>
    <mergeCell ref="B20:G20"/>
    <mergeCell ref="F2:G2"/>
    <mergeCell ref="B5:G5"/>
    <mergeCell ref="C27:G27"/>
    <mergeCell ref="B4:G4"/>
    <mergeCell ref="B25:G25"/>
    <mergeCell ref="B3:G3"/>
    <mergeCell ref="B7:G9"/>
    <mergeCell ref="B22:G22"/>
    <mergeCell ref="B12:G12"/>
    <mergeCell ref="B18:G18"/>
    <mergeCell ref="B21:G21"/>
    <mergeCell ref="B11:G11"/>
    <mergeCell ref="B14:G14"/>
    <mergeCell ref="B23:G23"/>
  </mergeCells>
  <hyperlinks>
    <hyperlink ref="B12" location="null!A1" display="1. Sebelum mulai menggunakan template, sesuaikan dulu jenis layanan paket wifi,kode paket dan harga ada di menu setup ⚙️" xr:uid="{00000000-0004-0000-0500-000000000000}"/>
    <hyperlink ref="B13" location="null!A1" display="2. Sheet Dashboard🖥️ dapat Anda gunakan untuk melihat ringkasan laporan keuangan usaha wifi Anda. Semua data yang Anda butuhkan dapat Anda lihat hanya dalam satu sheet" xr:uid="{00000000-0004-0000-0500-000001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Dashboard</vt:lpstr>
      <vt:lpstr>NamaPelanggan</vt:lpstr>
      <vt:lpstr>Tagihan Pelanggan</vt:lpstr>
      <vt:lpstr>Pengeluaran</vt:lpstr>
      <vt:lpstr>Setup</vt:lpstr>
      <vt:lpstr>Read 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Abdullah Fiqru Siech</cp:lastModifiedBy>
  <dcterms:created xsi:type="dcterms:W3CDTF">2026-03-14T17:31:09Z</dcterms:created>
  <dcterms:modified xsi:type="dcterms:W3CDTF">2026-08-01T18:34:18Z</dcterms:modified>
</cp:coreProperties>
</file>